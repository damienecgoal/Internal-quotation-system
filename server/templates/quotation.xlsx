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hoitingwan/Desktop/4S/"/>
    </mc:Choice>
  </mc:AlternateContent>
  <xr:revisionPtr revIDLastSave="0" documentId="13_ncr:1_{B6B76589-F36D-1D4E-9B59-8417D3EA811D}" xr6:coauthVersionLast="47" xr6:coauthVersionMax="47" xr10:uidLastSave="{00000000-0000-0000-0000-000000000000}"/>
  <bookViews>
    <workbookView xWindow="0" yWindow="500" windowWidth="28800" windowHeight="16440" tabRatio="674" xr2:uid="{00000000-000D-0000-FFFF-FFFF00000000}"/>
  </bookViews>
  <sheets>
    <sheet name="Quotation" sheetId="24" r:id="rId1"/>
  </sheets>
  <definedNames>
    <definedName name="_xlnm.Print_Area" localSheetId="0">Quotation!$A$1:$K$297</definedName>
    <definedName name="_xlnm.Print_Titles" localSheetId="0">Quotation!$1:$13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4" l="1"/>
  <c r="K232" i="24"/>
  <c r="K226" i="24"/>
  <c r="K217" i="24"/>
  <c r="K222" i="24"/>
  <c r="K240" i="24"/>
  <c r="K255" i="24" s="1"/>
  <c r="K200" i="24"/>
  <c r="K197" i="24"/>
  <c r="K184" i="24"/>
  <c r="K181" i="24"/>
  <c r="K163" i="24"/>
  <c r="K161" i="24"/>
  <c r="K146" i="24"/>
  <c r="K139" i="24"/>
  <c r="K135" i="24"/>
  <c r="K123" i="24"/>
  <c r="K121" i="24"/>
  <c r="K119" i="24"/>
  <c r="C116" i="24"/>
  <c r="K101" i="24"/>
  <c r="K115" i="24" s="1"/>
  <c r="C94" i="24"/>
  <c r="K80" i="24"/>
  <c r="C75" i="24"/>
  <c r="K65" i="24"/>
  <c r="K74" i="24" s="1"/>
  <c r="C60" i="24"/>
  <c r="K49" i="24"/>
  <c r="K44" i="24"/>
  <c r="K58" i="24" l="1"/>
  <c r="K175" i="24"/>
  <c r="K155" i="24"/>
  <c r="K207" i="24"/>
  <c r="K191" i="24"/>
  <c r="K93" i="24"/>
  <c r="K256" i="24" l="1"/>
</calcChain>
</file>

<file path=xl/sharedStrings.xml><?xml version="1.0" encoding="utf-8"?>
<sst xmlns="http://schemas.openxmlformats.org/spreadsheetml/2006/main" count="406" uniqueCount="268">
  <si>
    <t>Quotation</t>
  </si>
  <si>
    <t>Date</t>
  </si>
  <si>
    <t>:</t>
  </si>
  <si>
    <t>Quotation No.</t>
  </si>
  <si>
    <t>Customer No.</t>
  </si>
  <si>
    <t>Your Ref.</t>
  </si>
  <si>
    <t>Revision</t>
  </si>
  <si>
    <t>Attn:</t>
  </si>
  <si>
    <t>Tel:</t>
  </si>
  <si>
    <t>E-mail:</t>
  </si>
  <si>
    <t>Re:</t>
  </si>
  <si>
    <t>Item</t>
  </si>
  <si>
    <t>Descriptions</t>
  </si>
  <si>
    <t>Amount</t>
  </si>
  <si>
    <t>Tender requirement and background:</t>
  </si>
  <si>
    <t>Contract period :</t>
  </si>
  <si>
    <t>months</t>
  </si>
  <si>
    <t>Available to integrate with the following modules:</t>
  </si>
  <si>
    <t>A</t>
  </si>
  <si>
    <t>SMART SITE PLATFORM</t>
  </si>
  <si>
    <t>Dashboard available</t>
  </si>
  <si>
    <t>User access right to different data sets shall be set individually</t>
  </si>
  <si>
    <t>Sub-total:</t>
  </si>
  <si>
    <t>MODULES INTEGRATED IN THE CMP</t>
  </si>
  <si>
    <t>set(s)</t>
  </si>
  <si>
    <t>2.</t>
  </si>
  <si>
    <t>General assumptions</t>
  </si>
  <si>
    <t>Power and internet infrastructure are provided by the Contractor</t>
  </si>
  <si>
    <t>Covers the first year of the original factory warranty, extended warranties may be subject to additional charges</t>
  </si>
  <si>
    <t>Special hardware installation and / or civil works (such as drilling) generated from this system shall be performed by the Contractor</t>
  </si>
  <si>
    <t>The Contractor shall provide access for installation</t>
  </si>
  <si>
    <t>All hardware is immediately repairable or replaceable within 7 days after delivery, extra time and cost for immediate repairment may occur after 7 days of delivery.</t>
  </si>
  <si>
    <t>3.</t>
  </si>
  <si>
    <t>Payment Terms</t>
  </si>
  <si>
    <t>Fee Schedule</t>
  </si>
  <si>
    <t>4.</t>
  </si>
  <si>
    <t>Validation Period</t>
  </si>
  <si>
    <t>5.</t>
  </si>
  <si>
    <t>All currency in HKD</t>
  </si>
  <si>
    <t>For and on Behalf of</t>
  </si>
  <si>
    <t>Accepted by</t>
  </si>
  <si>
    <t>Authorized Signature</t>
  </si>
  <si>
    <t>Date:</t>
  </si>
  <si>
    <t xml:space="preserve">Re-allocation service not included </t>
    <phoneticPr fontId="20" type="noConversion"/>
  </si>
  <si>
    <t>Keen Rich Enterprise Limited</t>
    <phoneticPr fontId="20" type="noConversion"/>
  </si>
  <si>
    <t>To:</t>
    <phoneticPr fontId="20" type="noConversion"/>
  </si>
  <si>
    <t>Address:</t>
    <phoneticPr fontId="20" type="noConversion"/>
  </si>
  <si>
    <t>Quotation</t>
    <phoneticPr fontId="20" type="noConversion"/>
  </si>
  <si>
    <t>1.</t>
    <phoneticPr fontId="20" type="noConversion"/>
  </si>
  <si>
    <t>B</t>
    <phoneticPr fontId="20" type="noConversion"/>
  </si>
  <si>
    <t>C</t>
    <phoneticPr fontId="20" type="noConversion"/>
  </si>
  <si>
    <t>Keen Rich 4S Solution</t>
    <phoneticPr fontId="20" type="noConversion"/>
  </si>
  <si>
    <t>time</t>
    <phoneticPr fontId="20" type="noConversion"/>
  </si>
  <si>
    <t>Per man-day</t>
    <phoneticPr fontId="20" type="noConversion"/>
  </si>
  <si>
    <t>TOTAL CONTRACT VALUE</t>
    <phoneticPr fontId="20" type="noConversion"/>
  </si>
  <si>
    <t xml:space="preserve">Login user Setup </t>
    <phoneticPr fontId="20" type="noConversion"/>
  </si>
  <si>
    <t>set(s)</t>
    <phoneticPr fontId="20" type="noConversion"/>
  </si>
  <si>
    <t>*Monthly Fee is for Indication ONLY, The Amount is payable on Delivery and non-refundable</t>
    <phoneticPr fontId="20" type="noConversion"/>
  </si>
  <si>
    <t xml:space="preserve">time </t>
    <phoneticPr fontId="20" type="noConversion"/>
  </si>
  <si>
    <t>Work in confined spaces</t>
    <phoneticPr fontId="20" type="noConversion"/>
  </si>
  <si>
    <t>Work with electrical hazard</t>
    <phoneticPr fontId="20" type="noConversion"/>
  </si>
  <si>
    <t>Work in lift shaft</t>
    <phoneticPr fontId="20" type="noConversion"/>
  </si>
  <si>
    <t>Mobile crane, heavy machinery and piling rig operating or moving on the Site</t>
    <phoneticPr fontId="20" type="noConversion"/>
  </si>
  <si>
    <t>Hot work</t>
    <phoneticPr fontId="20" type="noConversion"/>
  </si>
  <si>
    <t>Use of ladder for work above ground for work purpose</t>
    <phoneticPr fontId="20" type="noConversion"/>
  </si>
  <si>
    <t>One-time Module Setup fee</t>
    <phoneticPr fontId="20" type="noConversion"/>
  </si>
  <si>
    <t>Access control items</t>
  </si>
  <si>
    <t>Electrical distribution board cabinet</t>
  </si>
  <si>
    <t>Floor opening equal to or larger than 500mm x 500mm;</t>
    <phoneticPr fontId="20" type="noConversion"/>
  </si>
  <si>
    <t>Entrance to confined space area</t>
  </si>
  <si>
    <t>Lift shaft opening</t>
  </si>
  <si>
    <t>Other applicable scenarios or areas</t>
  </si>
  <si>
    <t>A centralized management platform use to monitor all IoT systems and devices</t>
    <phoneticPr fontId="20" type="noConversion"/>
  </si>
  <si>
    <t>System use to facilitate on-line real-time application, issuance and tracking of permit-to-work to move and operate for high risk activities</t>
    <phoneticPr fontId="20" type="noConversion"/>
  </si>
  <si>
    <t xml:space="preserve">Monthly Subscription Fee include the license fee, and basic online remote support, extra support with man-power would charge daily upon customer's request. </t>
    <phoneticPr fontId="20" type="noConversion"/>
  </si>
  <si>
    <t>$</t>
    <phoneticPr fontId="20" type="noConversion"/>
  </si>
  <si>
    <t>SSSS Implementation Plan - 1st time submission &amp; 4S Labelling Service</t>
    <phoneticPr fontId="20" type="noConversion"/>
  </si>
  <si>
    <t>lifting operations by tower cranes, mobile cranes, crawlercranes, or cranes alike or lifting operation by mechanical
means</t>
    <phoneticPr fontId="20" type="noConversion"/>
  </si>
  <si>
    <t xml:space="preserve">Unit Rate </t>
    <phoneticPr fontId="20" type="noConversion"/>
  </si>
  <si>
    <t>unit</t>
    <phoneticPr fontId="20" type="noConversion"/>
  </si>
  <si>
    <t>Rate only</t>
    <phoneticPr fontId="20" type="noConversion"/>
  </si>
  <si>
    <t>Quantity</t>
    <phoneticPr fontId="20" type="noConversion"/>
  </si>
  <si>
    <t>Covers Basic Forms</t>
    <phoneticPr fontId="20" type="noConversion"/>
  </si>
  <si>
    <t>D</t>
  </si>
  <si>
    <t>E</t>
  </si>
  <si>
    <t>F</t>
  </si>
  <si>
    <t>G</t>
  </si>
  <si>
    <t>Establish an Intelligent Management Platform (IMP) for integrating construction data including BIM, site progress data, Apps data and IoT sensor</t>
  </si>
  <si>
    <t>Digitalized permit-to-work system (ePTW)</t>
    <phoneticPr fontId="20" type="noConversion"/>
  </si>
  <si>
    <t>Electronic lock and key system (E-Lock)</t>
    <phoneticPr fontId="20" type="noConversion"/>
  </si>
  <si>
    <t>Unsafe Acts / Dangerous situation alert - Mobile plant</t>
  </si>
  <si>
    <t>Smart monitoring devices for workers and frontline site personnel - watch</t>
  </si>
  <si>
    <t xml:space="preserve">Safety Training with VR Technology </t>
    <phoneticPr fontId="20" type="noConversion"/>
  </si>
  <si>
    <t xml:space="preserve">Deposit </t>
  </si>
  <si>
    <t>Within 30 Days after delivery</t>
  </si>
  <si>
    <t>50% (Work in Progress)</t>
  </si>
  <si>
    <t>3 month(s)</t>
  </si>
  <si>
    <t>month(s)</t>
  </si>
  <si>
    <t>A1</t>
  </si>
  <si>
    <t>One-time platform setup fee</t>
  </si>
  <si>
    <t>A2</t>
  </si>
  <si>
    <t>A3</t>
  </si>
  <si>
    <t>Real-time on-line QR code tracking of all site plants, powered tools and ladders up-to-date status</t>
  </si>
  <si>
    <t>System initialization and cloud configuration</t>
  </si>
  <si>
    <t>Customized user manual and training materials</t>
  </si>
  <si>
    <t xml:space="preserve"> Interactive dashboard deployment  </t>
  </si>
  <si>
    <t xml:space="preserve">Cloud storage allocation for the first year </t>
  </si>
  <si>
    <t xml:space="preserve"> User account setup and data-field configuration</t>
  </si>
  <si>
    <t>B</t>
  </si>
  <si>
    <t>B1</t>
  </si>
  <si>
    <t>B2</t>
  </si>
  <si>
    <t>$</t>
  </si>
  <si>
    <t>C</t>
  </si>
  <si>
    <t>Digitalized Tracking System</t>
  </si>
  <si>
    <t>C1</t>
  </si>
  <si>
    <t>C2</t>
  </si>
  <si>
    <t>form(s)</t>
  </si>
  <si>
    <t>Rate only</t>
  </si>
  <si>
    <t>Ranger Smart Lock (Included Seal Card &amp; Unseal Card)</t>
  </si>
  <si>
    <t>D1</t>
  </si>
  <si>
    <t>D2</t>
  </si>
  <si>
    <t>Indoor connection</t>
  </si>
  <si>
    <t>Indoor LoRa Gateway</t>
  </si>
  <si>
    <t>Router</t>
  </si>
  <si>
    <t>D4a</t>
  </si>
  <si>
    <t>D4b</t>
  </si>
  <si>
    <t>D4c</t>
  </si>
  <si>
    <t>quantity of D4a-D4c will be finalize after site visit</t>
  </si>
  <si>
    <t>location(s)</t>
  </si>
  <si>
    <t>SIM card for contract period</t>
  </si>
  <si>
    <t>AI Camera / AI CCTV / IP69K Waterproof / 1080P</t>
    <phoneticPr fontId="20" type="noConversion"/>
  </si>
  <si>
    <t xml:space="preserve">AI Control Box </t>
    <phoneticPr fontId="20" type="noConversion"/>
  </si>
  <si>
    <t>Display (7" IPS)</t>
    <phoneticPr fontId="20" type="noConversion"/>
  </si>
  <si>
    <t xml:space="preserve">User Manual </t>
    <phoneticPr fontId="20" type="noConversion"/>
  </si>
  <si>
    <t>E1</t>
  </si>
  <si>
    <t>E2</t>
  </si>
  <si>
    <t>E3</t>
  </si>
  <si>
    <t>Automated warning system on all mobile cranes operating on site to alert plant operator</t>
  </si>
  <si>
    <t>F1</t>
  </si>
  <si>
    <t>F2</t>
  </si>
  <si>
    <t>F4</t>
  </si>
  <si>
    <t>Real-time monitoring of workers’ safety and location with CMP integration for centralized reporting.</t>
  </si>
  <si>
    <t>4G Smart Watches</t>
  </si>
  <si>
    <t>Capable for outdoor location tracking</t>
  </si>
  <si>
    <t>Real time detection of standstill</t>
  </si>
  <si>
    <t>Real time monitoring  of body temperature</t>
  </si>
  <si>
    <t xml:space="preserve">Real time monitoring  of heart rate / Pressure </t>
    <phoneticPr fontId="20" type="noConversion"/>
  </si>
  <si>
    <t>pc</t>
  </si>
  <si>
    <t>Unit</t>
  </si>
  <si>
    <t>Hardware &amp; Software included:</t>
    <phoneticPr fontId="20" type="noConversion"/>
  </si>
  <si>
    <t>Main control device</t>
    <phoneticPr fontId="20" type="noConversion"/>
  </si>
  <si>
    <t>CIC Training Modules</t>
    <phoneticPr fontId="20" type="noConversion"/>
  </si>
  <si>
    <t>Training Module included:</t>
    <phoneticPr fontId="20" type="noConversion"/>
  </si>
  <si>
    <t xml:space="preserve">Heavy lifting operation		</t>
    <phoneticPr fontId="20" type="noConversion"/>
  </si>
  <si>
    <t xml:space="preserve">Heavy machinery operation	</t>
    <phoneticPr fontId="20" type="noConversion"/>
  </si>
  <si>
    <t xml:space="preserve">Working in confined space	</t>
    <phoneticPr fontId="20" type="noConversion"/>
  </si>
  <si>
    <t>Use of suspended working platform</t>
    <phoneticPr fontId="20" type="noConversion"/>
  </si>
  <si>
    <t>Erection / alteration / dismantle of bamboo scaffolds and/or truss-out bamboo scaffold</t>
    <phoneticPr fontId="20" type="noConversion"/>
  </si>
  <si>
    <t>Electrical and other works with potential electrical hazards or chance of coming into contact with live electrical parts.</t>
    <phoneticPr fontId="20" type="noConversion"/>
  </si>
  <si>
    <t xml:space="preserve">set </t>
  </si>
  <si>
    <t>Hazardous areas access control by electronic lock and key system</t>
  </si>
  <si>
    <t>SIM card(s)</t>
  </si>
  <si>
    <t>Smart Helmet (Optional)</t>
  </si>
  <si>
    <t>Mobile plant system (With installation fee)</t>
  </si>
  <si>
    <t xml:space="preserve">External Alarm </t>
  </si>
  <si>
    <t>Monthly report on implementation of SSSS components</t>
  </si>
  <si>
    <t>A4</t>
  </si>
  <si>
    <t>A5</t>
  </si>
  <si>
    <t>On-site Support  (Optional)</t>
  </si>
  <si>
    <t>QR Code Printer (Optional)</t>
    <phoneticPr fontId="20" type="noConversion"/>
  </si>
  <si>
    <t>Customized Form service</t>
    <phoneticPr fontId="20" type="noConversion"/>
  </si>
  <si>
    <t xml:space="preserve">Maintenance fee*   </t>
  </si>
  <si>
    <t xml:space="preserve">*Maintenance fee*   include remote support and software consultancy service, not include on-site service </t>
  </si>
  <si>
    <t>Extra Storage</t>
    <phoneticPr fontId="20" type="noConversion"/>
  </si>
  <si>
    <t xml:space="preserve">Per 1TB Per Month </t>
    <phoneticPr fontId="20" type="noConversion"/>
  </si>
  <si>
    <t xml:space="preserve">4G SIM card for mobile plants (10 SIM) </t>
    <phoneticPr fontId="20" type="noConversion"/>
  </si>
  <si>
    <t>Include chargers (Type C)</t>
    <phoneticPr fontId="20" type="noConversion"/>
  </si>
  <si>
    <t>Ranger Centralized Management Platform (CITF PA Product code: PA25-153)</t>
  </si>
  <si>
    <t>Ranger Digitalised Tracking System (CITF PA Product code: PA26-024)</t>
  </si>
  <si>
    <t>Ranger Permit To Work System  (CITF PA Product code: PA25-154)</t>
  </si>
  <si>
    <t>Ranger Electronic Lock and Key System (CITF PA Product code: PA25-155)</t>
  </si>
  <si>
    <t>Ranger Smart Watch  (CITF PA Product code: PA25-156)</t>
  </si>
  <si>
    <t xml:space="preserve">Included </t>
  </si>
  <si>
    <t>Included</t>
  </si>
  <si>
    <t xml:space="preserve">Full time Site Systems Specialist </t>
  </si>
  <si>
    <t>An automated warning system on tower cranes to alert tower crane operator and any site personnel encroaching upon the tower crane lifting zone</t>
  </si>
  <si>
    <t>Hardware</t>
  </si>
  <si>
    <t xml:space="preserve">AI Camera (2 Camera for each Tower) </t>
    <phoneticPr fontId="20" type="noConversion"/>
  </si>
  <si>
    <t>AI Analyzer Modem ( 1 modem supports for 6 cameras)</t>
  </si>
  <si>
    <t>Alarm ( 3nos for 1 tower crane)</t>
  </si>
  <si>
    <t>UWB base station (set in the 1 Loading and 1 unloading area)</t>
  </si>
  <si>
    <t>UWB sensor (set in the Tower crane hook)</t>
  </si>
  <si>
    <t>F5</t>
  </si>
  <si>
    <t xml:space="preserve">Network signal enhancment </t>
  </si>
  <si>
    <t>F5a</t>
  </si>
  <si>
    <t>F5b</t>
  </si>
  <si>
    <t>quantity of F5a-F5b will be finalize after site visit</t>
  </si>
  <si>
    <t>G1</t>
  </si>
  <si>
    <t>G2</t>
  </si>
  <si>
    <t>G3</t>
  </si>
  <si>
    <t>G4</t>
  </si>
  <si>
    <t>H</t>
  </si>
  <si>
    <t>Uses AI cameras and cloud analytics to detect unsafe acts in real time and send instant alerts via the CMP dashboard and speaker system.</t>
  </si>
  <si>
    <t>Ranger AI-Powered Safety Monitoring System (CITF PA Product code: PA26-004)</t>
  </si>
  <si>
    <t>H1</t>
  </si>
  <si>
    <t>H2</t>
  </si>
  <si>
    <t>Ranger AI-Powered Safety Monitoring System</t>
  </si>
  <si>
    <t>4K-Camera</t>
  </si>
  <si>
    <t>Recording Devices (Max for 4 cameras)</t>
  </si>
  <si>
    <t>AI Analyzer Modem (Max for 4 cameras)</t>
  </si>
  <si>
    <t>Alarm with light and sound</t>
  </si>
  <si>
    <t>Central Controller</t>
  </si>
  <si>
    <t>I</t>
  </si>
  <si>
    <t>Monitor the locations defined as confined spaces on the site</t>
  </si>
  <si>
    <t>Ranger Confined Space Monitoring System (CITF PA Product code: PA26-025)</t>
  </si>
  <si>
    <t>I1</t>
  </si>
  <si>
    <t>I2</t>
  </si>
  <si>
    <t>Confined Spaces Monitoring System</t>
    <phoneticPr fontId="20" type="noConversion"/>
  </si>
  <si>
    <t>Tablet for access to all data of confined space monitoring system</t>
  </si>
  <si>
    <t>Body cam with alarm function</t>
  </si>
  <si>
    <t>Gas detector (two levels of alarm systems) O2, CH4, CO, CO2,H2S, PM2.5 and temp</t>
  </si>
  <si>
    <t>Personal gas detector (two levels of alarm systems) O2, CO, H2S, CH4</t>
  </si>
  <si>
    <t>J</t>
  </si>
  <si>
    <t xml:space="preserve">Unsafe Acts/ Dangerous situatiom alert- Tower Crane </t>
  </si>
  <si>
    <t>Unsafe Acts / Dangerous situation alert - Tower crane</t>
  </si>
  <si>
    <t>Safety Monitoring System using Artificial Intelligence</t>
  </si>
  <si>
    <t xml:space="preserve">Confined Spaces Monitoring System </t>
    <phoneticPr fontId="20" type="noConversion"/>
  </si>
  <si>
    <t>Mattex Asia Development Limited</t>
  </si>
  <si>
    <t xml:space="preserve">Lawrence Li </t>
  </si>
  <si>
    <t>lawrence.li@mattex.com.hk</t>
  </si>
  <si>
    <t>30053</t>
  </si>
  <si>
    <t>YL/2025/02 – Development of the Loop – Eastern Connection Road</t>
  </si>
  <si>
    <t>KR-06102026MADL-002</t>
  </si>
  <si>
    <t>D3</t>
  </si>
  <si>
    <t xml:space="preserve">Smart Monitoring System for Scaffolding Putlog </t>
  </si>
  <si>
    <t>K</t>
  </si>
  <si>
    <t>L</t>
  </si>
  <si>
    <t xml:space="preserve">Smart fire and smoke detection system </t>
  </si>
  <si>
    <t xml:space="preserve">RANGER Scaffold Safety Monitoring System </t>
  </si>
  <si>
    <t>Uses IoT sensors to continuously monitor scaffolding stability</t>
  </si>
  <si>
    <t>unit</t>
    <phoneticPr fontId="17" type="noConversion"/>
  </si>
  <si>
    <t>$</t>
    <phoneticPr fontId="17" type="noConversion"/>
  </si>
  <si>
    <t>system activation</t>
  </si>
  <si>
    <t>user mannual &amp; installation mannual</t>
  </si>
  <si>
    <t>web &amp; mobile access (Ranger Scaffold Dashboard)</t>
  </si>
  <si>
    <t>instant notifications (email and mobile app)</t>
  </si>
  <si>
    <t>Scaffold Sensor</t>
  </si>
  <si>
    <t>included wall mount magnetic and angle sensor</t>
  </si>
  <si>
    <t>solar power and low power IC</t>
  </si>
  <si>
    <t>unique QR code for each device</t>
  </si>
  <si>
    <t>$</t>
    <phoneticPr fontId="18" type="noConversion"/>
  </si>
  <si>
    <t xml:space="preserve">Ranger Pre-Fire Thermal Aromaly Detection System  </t>
  </si>
  <si>
    <t>Uses IoT senser to detect and warn of fire hazards early on construction sites and outdoor aera</t>
  </si>
  <si>
    <t>One-time Module Setup fee</t>
    <phoneticPr fontId="16" type="noConversion"/>
  </si>
  <si>
    <t xml:space="preserve">time </t>
    <phoneticPr fontId="18" type="noConversion"/>
  </si>
  <si>
    <t>system activation</t>
    <phoneticPr fontId="16" type="noConversion"/>
  </si>
  <si>
    <t>user mannual &amp; installation mannual</t>
    <phoneticPr fontId="16" type="noConversion"/>
  </si>
  <si>
    <t>web &amp; mobile access (Ranger Scaffold Dashboard)</t>
    <phoneticPr fontId="16" type="noConversion"/>
  </si>
  <si>
    <t>instant notifications (email and mobile app)</t>
    <phoneticPr fontId="16" type="noConversion"/>
  </si>
  <si>
    <t xml:space="preserve">Temperature Sensor </t>
  </si>
  <si>
    <t>multi-threshsold temperature sensing ( 40℃/ 60℃ /80℃)</t>
  </si>
  <si>
    <t>IP67 protection level</t>
  </si>
  <si>
    <t>unique QR code for each device</t>
    <phoneticPr fontId="16" type="noConversion"/>
  </si>
  <si>
    <t>J1</t>
  </si>
  <si>
    <t>J2</t>
  </si>
  <si>
    <t>K1</t>
  </si>
  <si>
    <t>K2</t>
  </si>
  <si>
    <t>Centralized Management Platform (CMP)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</si>
</sst>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DBNum2][$RMB]General;[Red][DBNum2][$RMB]General"/>
    <numFmt numFmtId="167" formatCode="&quot;- &quot;@"/>
    <numFmt numFmtId="168" formatCode="@&quot;)&quot;"/>
    <numFmt numFmtId="169" formatCode="0_ "/>
    <numFmt numFmtId="170" formatCode="_-* #,##0_-;\-* #,##0_-;_-* &quot;-&quot;??_-;_-@_-"/>
    <numFmt numFmtId="171" formatCode="d/m/yyyy;@"/>
    <numFmt numFmtId="172" formatCode="&quot;       - &quot;@"/>
    <numFmt numFmtId="173" formatCode="&quot;   - &quot;@"/>
  </numFmts>
  <fonts count="22">
    <font>
      <sz val="11"/>
      <color theme="1"/>
      <name val="Calibri"/>
      <charset val="134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16"/>
      <color theme="1"/>
      <name val="Arial"/>
      <family val="2"/>
    </font>
    <font>
      <b/>
      <sz val="12"/>
      <color rgb="FF000000"/>
      <name val="Arial"/>
      <family val="2"/>
    </font>
    <font>
      <b/>
      <sz val="26"/>
      <color theme="1"/>
      <name val="Arial"/>
      <family val="2"/>
    </font>
    <font>
      <b/>
      <i/>
      <sz val="12"/>
      <color theme="0"/>
      <name val="Arial"/>
      <family val="2"/>
    </font>
    <font>
      <sz val="11"/>
      <color rgb="FFFF0000"/>
      <name val="宋体"/>
      <family val="3"/>
      <charset val="136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4"/>
      <charset val="134"/>
      <scheme val="minor"/>
    </font>
    <font>
      <u/>
      <sz val="11"/>
      <color rgb="FF0000FF"/>
      <name val="Calibri"/>
      <family val="4"/>
      <charset val="134"/>
      <scheme val="minor"/>
    </font>
    <font>
      <sz val="10"/>
      <name val="Arial"/>
      <family val="2"/>
    </font>
    <font>
      <sz val="9"/>
      <name val="Calibri"/>
      <family val="3"/>
      <charset val="136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/>
      <bottom/>
      <diagonal/>
    </border>
  </borders>
  <cellStyleXfs count="12">
    <xf numFmtId="0" fontId="0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17" fillId="0" borderId="0">
      <alignment vertical="center"/>
    </xf>
    <xf numFmtId="0" fontId="19" fillId="0" borderId="0"/>
    <xf numFmtId="0" fontId="17" fillId="0" borderId="0">
      <alignment vertical="center"/>
    </xf>
  </cellStyleXfs>
  <cellXfs count="30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vertical="center"/>
    </xf>
    <xf numFmtId="167" fontId="2" fillId="2" borderId="8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167" fontId="2" fillId="2" borderId="0" xfId="0" applyNumberFormat="1" applyFont="1" applyFill="1" applyAlignment="1">
      <alignment horizontal="left" vertical="center"/>
    </xf>
    <xf numFmtId="49" fontId="5" fillId="2" borderId="10" xfId="0" applyNumberFormat="1" applyFont="1" applyFill="1" applyBorder="1" applyAlignment="1">
      <alignment horizontal="left" vertical="center"/>
    </xf>
    <xf numFmtId="168" fontId="2" fillId="2" borderId="9" xfId="0" applyNumberFormat="1" applyFont="1" applyFill="1" applyBorder="1" applyAlignment="1">
      <alignment horizontal="right" vertical="center"/>
    </xf>
    <xf numFmtId="0" fontId="2" fillId="2" borderId="10" xfId="0" applyFont="1" applyFill="1" applyBorder="1" applyAlignment="1">
      <alignment vertical="center"/>
    </xf>
    <xf numFmtId="165" fontId="2" fillId="2" borderId="0" xfId="1" applyFont="1" applyFill="1" applyAlignment="1">
      <alignment horizontal="left" vertical="center"/>
    </xf>
    <xf numFmtId="167" fontId="2" fillId="2" borderId="0" xfId="0" applyNumberFormat="1" applyFont="1" applyFill="1" applyAlignment="1">
      <alignment horizontal="left" vertical="top"/>
    </xf>
    <xf numFmtId="0" fontId="5" fillId="2" borderId="14" xfId="0" applyFont="1" applyFill="1" applyBorder="1" applyAlignment="1">
      <alignment horizontal="left" vertical="center"/>
    </xf>
    <xf numFmtId="167" fontId="2" fillId="2" borderId="11" xfId="0" applyNumberFormat="1" applyFont="1" applyFill="1" applyBorder="1" applyAlignment="1">
      <alignment horizontal="left" vertical="center"/>
    </xf>
    <xf numFmtId="165" fontId="2" fillId="2" borderId="12" xfId="1" applyFont="1" applyFill="1" applyBorder="1" applyAlignment="1">
      <alignment vertical="center"/>
    </xf>
    <xf numFmtId="167" fontId="2" fillId="2" borderId="12" xfId="0" applyNumberFormat="1" applyFont="1" applyFill="1" applyBorder="1" applyAlignment="1">
      <alignment horizontal="left" vertical="center"/>
    </xf>
    <xf numFmtId="0" fontId="10" fillId="4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vertical="center"/>
    </xf>
    <xf numFmtId="167" fontId="2" fillId="2" borderId="1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top"/>
    </xf>
    <xf numFmtId="0" fontId="15" fillId="2" borderId="0" xfId="0" applyFont="1" applyFill="1" applyAlignment="1">
      <alignment horizontal="center" vertical="top"/>
    </xf>
    <xf numFmtId="0" fontId="2" fillId="4" borderId="16" xfId="0" applyFont="1" applyFill="1" applyBorder="1" applyAlignment="1">
      <alignment vertical="center"/>
    </xf>
    <xf numFmtId="0" fontId="0" fillId="2" borderId="8" xfId="0" applyFill="1" applyBorder="1"/>
    <xf numFmtId="0" fontId="2" fillId="2" borderId="10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center"/>
    </xf>
    <xf numFmtId="170" fontId="2" fillId="2" borderId="0" xfId="0" applyNumberFormat="1" applyFont="1" applyFill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1" applyNumberFormat="1" applyFont="1" applyFill="1" applyBorder="1" applyAlignment="1">
      <alignment horizontal="left" vertical="center"/>
    </xf>
    <xf numFmtId="0" fontId="2" fillId="2" borderId="29" xfId="1" applyNumberFormat="1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/>
    </xf>
    <xf numFmtId="0" fontId="5" fillId="2" borderId="0" xfId="0" quotePrefix="1" applyFont="1" applyFill="1" applyAlignment="1">
      <alignment vertical="center"/>
    </xf>
    <xf numFmtId="0" fontId="2" fillId="2" borderId="0" xfId="0" applyFont="1" applyFill="1" applyAlignment="1">
      <alignment horizontal="right" vertical="center" wrapText="1"/>
    </xf>
    <xf numFmtId="0" fontId="5" fillId="2" borderId="1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5" fillId="2" borderId="13" xfId="0" applyFont="1" applyFill="1" applyBorder="1" applyAlignment="1">
      <alignment horizontal="left" vertical="top" wrapText="1"/>
    </xf>
    <xf numFmtId="0" fontId="11" fillId="5" borderId="10" xfId="0" applyFont="1" applyFill="1" applyBorder="1" applyAlignment="1">
      <alignment horizontal="center" vertical="center"/>
    </xf>
    <xf numFmtId="165" fontId="2" fillId="2" borderId="0" xfId="1" applyFont="1" applyFill="1" applyAlignment="1">
      <alignment horizontal="center" vertical="center"/>
    </xf>
    <xf numFmtId="165" fontId="12" fillId="2" borderId="0" xfId="1" applyFont="1" applyFill="1" applyAlignment="1">
      <alignment horizontal="center" vertical="center"/>
    </xf>
    <xf numFmtId="165" fontId="7" fillId="2" borderId="8" xfId="1" applyFont="1" applyFill="1" applyBorder="1" applyAlignment="1">
      <alignment horizontal="center" vertical="center"/>
    </xf>
    <xf numFmtId="165" fontId="5" fillId="2" borderId="18" xfId="1" applyFont="1" applyFill="1" applyBorder="1" applyAlignment="1">
      <alignment horizontal="center" vertical="center"/>
    </xf>
    <xf numFmtId="165" fontId="7" fillId="2" borderId="0" xfId="1" applyFont="1" applyFill="1" applyAlignment="1">
      <alignment horizontal="center" vertical="center"/>
    </xf>
    <xf numFmtId="165" fontId="5" fillId="2" borderId="19" xfId="1" applyFont="1" applyFill="1" applyBorder="1" applyAlignment="1">
      <alignment horizontal="center" vertical="center"/>
    </xf>
    <xf numFmtId="165" fontId="9" fillId="2" borderId="0" xfId="1" applyFont="1" applyFill="1" applyAlignment="1">
      <alignment horizontal="center" vertical="center"/>
    </xf>
    <xf numFmtId="165" fontId="8" fillId="2" borderId="19" xfId="1" applyFont="1" applyFill="1" applyBorder="1" applyAlignment="1">
      <alignment horizontal="center" vertical="center"/>
    </xf>
    <xf numFmtId="165" fontId="9" fillId="2" borderId="12" xfId="1" applyFont="1" applyFill="1" applyBorder="1" applyAlignment="1">
      <alignment horizontal="center" vertical="center"/>
    </xf>
    <xf numFmtId="165" fontId="8" fillId="2" borderId="20" xfId="1" applyFont="1" applyFill="1" applyBorder="1" applyAlignment="1">
      <alignment horizontal="center" vertical="center"/>
    </xf>
    <xf numFmtId="165" fontId="2" fillId="2" borderId="18" xfId="1" applyFont="1" applyFill="1" applyBorder="1" applyAlignment="1">
      <alignment horizontal="center" vertical="center"/>
    </xf>
    <xf numFmtId="165" fontId="2" fillId="2" borderId="19" xfId="1" applyFont="1" applyFill="1" applyBorder="1" applyAlignment="1">
      <alignment horizontal="center" vertical="center"/>
    </xf>
    <xf numFmtId="165" fontId="4" fillId="6" borderId="19" xfId="1" applyFont="1" applyFill="1" applyBorder="1" applyAlignment="1">
      <alignment horizontal="center" vertical="center"/>
    </xf>
    <xf numFmtId="165" fontId="3" fillId="2" borderId="19" xfId="1" applyFont="1" applyFill="1" applyBorder="1" applyAlignment="1">
      <alignment horizontal="center" vertical="center"/>
    </xf>
    <xf numFmtId="165" fontId="5" fillId="2" borderId="20" xfId="1" applyFont="1" applyFill="1" applyBorder="1" applyAlignment="1">
      <alignment horizontal="center" vertical="center"/>
    </xf>
    <xf numFmtId="165" fontId="5" fillId="4" borderId="4" xfId="1" applyFont="1" applyFill="1" applyBorder="1" applyAlignment="1">
      <alignment horizontal="center" vertical="center"/>
    </xf>
    <xf numFmtId="165" fontId="5" fillId="4" borderId="17" xfId="1" applyFont="1" applyFill="1" applyBorder="1" applyAlignment="1">
      <alignment horizontal="center" vertical="center"/>
    </xf>
    <xf numFmtId="165" fontId="4" fillId="2" borderId="19" xfId="1" applyFont="1" applyFill="1" applyBorder="1" applyAlignment="1">
      <alignment horizontal="center" vertical="center"/>
    </xf>
    <xf numFmtId="165" fontId="8" fillId="2" borderId="13" xfId="1" applyFont="1" applyFill="1" applyBorder="1" applyAlignment="1">
      <alignment horizontal="center" vertical="center"/>
    </xf>
    <xf numFmtId="165" fontId="5" fillId="4" borderId="4" xfId="1" applyFont="1" applyFill="1" applyBorder="1" applyAlignment="1">
      <alignment horizontal="right" vertical="center"/>
    </xf>
    <xf numFmtId="165" fontId="2" fillId="2" borderId="19" xfId="1" applyFont="1" applyFill="1" applyBorder="1" applyAlignment="1">
      <alignment horizontal="center" vertical="top"/>
    </xf>
    <xf numFmtId="165" fontId="5" fillId="2" borderId="17" xfId="1" applyFont="1" applyFill="1" applyBorder="1" applyAlignment="1">
      <alignment horizontal="center" vertical="center"/>
    </xf>
    <xf numFmtId="165" fontId="2" fillId="2" borderId="29" xfId="1" applyFont="1" applyFill="1" applyBorder="1" applyAlignment="1">
      <alignment horizontal="center" vertical="center" wrapText="1"/>
    </xf>
    <xf numFmtId="165" fontId="2" fillId="2" borderId="35" xfId="1" applyFont="1" applyFill="1" applyBorder="1" applyAlignment="1">
      <alignment horizontal="center" vertical="center" wrapText="1"/>
    </xf>
    <xf numFmtId="165" fontId="2" fillId="2" borderId="0" xfId="1" applyFont="1" applyFill="1" applyBorder="1" applyAlignment="1">
      <alignment horizontal="center" vertical="center" wrapText="1"/>
    </xf>
    <xf numFmtId="165" fontId="2" fillId="2" borderId="12" xfId="1" applyFont="1" applyFill="1" applyBorder="1" applyAlignment="1">
      <alignment horizontal="center" vertical="center"/>
    </xf>
    <xf numFmtId="165" fontId="5" fillId="4" borderId="12" xfId="1" applyFont="1" applyFill="1" applyBorder="1" applyAlignment="1">
      <alignment horizontal="center" vertical="center"/>
    </xf>
    <xf numFmtId="165" fontId="5" fillId="4" borderId="20" xfId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165" fontId="5" fillId="2" borderId="4" xfId="1" applyFont="1" applyFill="1" applyBorder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5" fillId="2" borderId="11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14" fontId="2" fillId="2" borderId="0" xfId="0" applyNumberFormat="1" applyFont="1" applyFill="1" applyAlignment="1">
      <alignment horizontal="left" vertical="center"/>
    </xf>
    <xf numFmtId="171" fontId="2" fillId="2" borderId="0" xfId="1" applyNumberFormat="1" applyFont="1" applyFill="1" applyAlignment="1">
      <alignment horizontal="left" vertical="center"/>
    </xf>
    <xf numFmtId="49" fontId="2" fillId="2" borderId="0" xfId="1" applyNumberFormat="1" applyFont="1" applyFill="1" applyAlignment="1">
      <alignment horizontal="left" vertical="center"/>
    </xf>
    <xf numFmtId="0" fontId="2" fillId="2" borderId="13" xfId="0" applyFont="1" applyFill="1" applyBorder="1" applyAlignment="1">
      <alignment horizontal="left" vertical="top" wrapText="1"/>
    </xf>
    <xf numFmtId="172" fontId="2" fillId="2" borderId="10" xfId="0" applyNumberFormat="1" applyFont="1" applyFill="1" applyBorder="1" applyAlignment="1">
      <alignment horizontal="left" vertical="center"/>
    </xf>
    <xf numFmtId="168" fontId="5" fillId="2" borderId="9" xfId="0" applyNumberFormat="1" applyFont="1" applyFill="1" applyBorder="1" applyAlignment="1">
      <alignment horizontal="left" vertical="center"/>
    </xf>
    <xf numFmtId="167" fontId="21" fillId="5" borderId="10" xfId="0" applyNumberFormat="1" applyFont="1" applyFill="1" applyBorder="1" applyAlignment="1">
      <alignment horizontal="left" vertical="center"/>
    </xf>
    <xf numFmtId="165" fontId="3" fillId="2" borderId="10" xfId="1" applyFont="1" applyFill="1" applyBorder="1" applyAlignment="1">
      <alignment horizontal="center" vertical="center"/>
    </xf>
    <xf numFmtId="165" fontId="2" fillId="2" borderId="10" xfId="1" applyFont="1" applyFill="1" applyBorder="1" applyAlignment="1">
      <alignment horizontal="center" vertical="center"/>
    </xf>
    <xf numFmtId="165" fontId="4" fillId="2" borderId="10" xfId="1" applyFont="1" applyFill="1" applyBorder="1" applyAlignment="1">
      <alignment horizontal="center" vertical="center"/>
    </xf>
    <xf numFmtId="165" fontId="7" fillId="2" borderId="10" xfId="1" applyFont="1" applyFill="1" applyBorder="1" applyAlignment="1">
      <alignment horizontal="center" vertical="center"/>
    </xf>
    <xf numFmtId="165" fontId="7" fillId="2" borderId="11" xfId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65" fontId="11" fillId="5" borderId="0" xfId="1" applyFont="1" applyFill="1" applyBorder="1" applyAlignment="1">
      <alignment horizontal="right" vertical="center"/>
    </xf>
    <xf numFmtId="165" fontId="5" fillId="2" borderId="10" xfId="1" applyFont="1" applyFill="1" applyBorder="1" applyAlignment="1">
      <alignment horizontal="center" vertical="center"/>
    </xf>
    <xf numFmtId="165" fontId="8" fillId="5" borderId="0" xfId="1" applyFont="1" applyFill="1" applyBorder="1" applyAlignment="1">
      <alignment horizontal="center" vertical="center"/>
    </xf>
    <xf numFmtId="165" fontId="8" fillId="2" borderId="0" xfId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65" fontId="8" fillId="5" borderId="0" xfId="1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5" fontId="2" fillId="2" borderId="0" xfId="1" applyFont="1" applyFill="1" applyAlignment="1">
      <alignment vertical="center"/>
    </xf>
    <xf numFmtId="165" fontId="7" fillId="2" borderId="8" xfId="1" applyFont="1" applyFill="1" applyBorder="1" applyAlignment="1">
      <alignment vertical="center"/>
    </xf>
    <xf numFmtId="165" fontId="7" fillId="2" borderId="0" xfId="1" applyFont="1" applyFill="1" applyAlignment="1">
      <alignment vertical="center"/>
    </xf>
    <xf numFmtId="165" fontId="9" fillId="2" borderId="0" xfId="1" applyFont="1" applyFill="1" applyAlignment="1">
      <alignment vertical="center"/>
    </xf>
    <xf numFmtId="165" fontId="9" fillId="2" borderId="12" xfId="1" applyFont="1" applyFill="1" applyBorder="1" applyAlignment="1">
      <alignment vertical="center"/>
    </xf>
    <xf numFmtId="165" fontId="3" fillId="2" borderId="10" xfId="1" applyFont="1" applyFill="1" applyBorder="1" applyAlignment="1">
      <alignment vertical="center"/>
    </xf>
    <xf numFmtId="165" fontId="2" fillId="2" borderId="10" xfId="1" applyFont="1" applyFill="1" applyBorder="1" applyAlignment="1">
      <alignment vertical="center"/>
    </xf>
    <xf numFmtId="165" fontId="4" fillId="2" borderId="10" xfId="1" applyFont="1" applyFill="1" applyBorder="1" applyAlignment="1">
      <alignment vertical="center"/>
    </xf>
    <xf numFmtId="165" fontId="7" fillId="2" borderId="11" xfId="1" applyFont="1" applyFill="1" applyBorder="1" applyAlignment="1">
      <alignment vertical="center"/>
    </xf>
    <xf numFmtId="165" fontId="2" fillId="4" borderId="4" xfId="1" applyFont="1" applyFill="1" applyBorder="1" applyAlignment="1">
      <alignment vertical="center"/>
    </xf>
    <xf numFmtId="165" fontId="5" fillId="2" borderId="10" xfId="1" applyFont="1" applyFill="1" applyBorder="1" applyAlignment="1">
      <alignment vertical="center"/>
    </xf>
    <xf numFmtId="165" fontId="7" fillId="2" borderId="10" xfId="1" applyFont="1" applyFill="1" applyBorder="1" applyAlignment="1">
      <alignment vertical="center"/>
    </xf>
    <xf numFmtId="165" fontId="11" fillId="5" borderId="10" xfId="1" applyFont="1" applyFill="1" applyBorder="1" applyAlignment="1">
      <alignment vertical="center"/>
    </xf>
    <xf numFmtId="165" fontId="8" fillId="5" borderId="10" xfId="1" applyFont="1" applyFill="1" applyBorder="1" applyAlignment="1">
      <alignment vertical="center"/>
    </xf>
    <xf numFmtId="165" fontId="8" fillId="2" borderId="10" xfId="1" applyFont="1" applyFill="1" applyBorder="1" applyAlignment="1">
      <alignment vertical="center"/>
    </xf>
    <xf numFmtId="165" fontId="5" fillId="2" borderId="11" xfId="1" applyFont="1" applyFill="1" applyBorder="1" applyAlignment="1">
      <alignment vertical="center"/>
    </xf>
    <xf numFmtId="165" fontId="4" fillId="2" borderId="11" xfId="1" applyFont="1" applyFill="1" applyBorder="1" applyAlignment="1">
      <alignment vertical="center"/>
    </xf>
    <xf numFmtId="165" fontId="5" fillId="2" borderId="4" xfId="1" applyFont="1" applyFill="1" applyBorder="1" applyAlignment="1">
      <alignment vertical="center"/>
    </xf>
    <xf numFmtId="165" fontId="7" fillId="3" borderId="4" xfId="1" applyFont="1" applyFill="1" applyBorder="1" applyAlignment="1">
      <alignment vertical="center"/>
    </xf>
    <xf numFmtId="165" fontId="2" fillId="2" borderId="29" xfId="1" applyFont="1" applyFill="1" applyBorder="1" applyAlignment="1">
      <alignment vertical="center" wrapText="1"/>
    </xf>
    <xf numFmtId="165" fontId="2" fillId="2" borderId="0" xfId="1" applyFont="1" applyFill="1" applyBorder="1" applyAlignment="1">
      <alignment vertical="center" wrapText="1"/>
    </xf>
    <xf numFmtId="165" fontId="2" fillId="2" borderId="0" xfId="1" quotePrefix="1" applyFont="1" applyFill="1" applyAlignment="1">
      <alignment horizontal="center" vertical="center"/>
    </xf>
    <xf numFmtId="165" fontId="2" fillId="2" borderId="7" xfId="1" applyFont="1" applyFill="1" applyBorder="1" applyAlignment="1">
      <alignment horizontal="center" vertical="center"/>
    </xf>
    <xf numFmtId="165" fontId="13" fillId="2" borderId="10" xfId="1" applyFont="1" applyFill="1" applyBorder="1" applyAlignment="1">
      <alignment horizontal="center" vertical="center"/>
    </xf>
    <xf numFmtId="165" fontId="8" fillId="5" borderId="12" xfId="1" applyFont="1" applyFill="1" applyBorder="1" applyAlignment="1">
      <alignment horizontal="center" vertical="center"/>
    </xf>
    <xf numFmtId="165" fontId="5" fillId="2" borderId="7" xfId="1" applyFont="1" applyFill="1" applyBorder="1" applyAlignment="1">
      <alignment horizontal="center" vertical="center"/>
    </xf>
    <xf numFmtId="165" fontId="2" fillId="2" borderId="10" xfId="1" applyFont="1" applyFill="1" applyBorder="1" applyAlignment="1">
      <alignment horizontal="center" vertical="top"/>
    </xf>
    <xf numFmtId="165" fontId="2" fillId="2" borderId="0" xfId="1" applyFont="1" applyFill="1" applyBorder="1" applyAlignment="1">
      <alignment horizontal="center" vertical="top"/>
    </xf>
    <xf numFmtId="165" fontId="2" fillId="2" borderId="11" xfId="1" applyFont="1" applyFill="1" applyBorder="1" applyAlignment="1">
      <alignment horizontal="center" vertical="center"/>
    </xf>
    <xf numFmtId="165" fontId="4" fillId="6" borderId="10" xfId="1" applyFont="1" applyFill="1" applyBorder="1" applyAlignment="1">
      <alignment horizontal="center" vertical="center"/>
    </xf>
    <xf numFmtId="165" fontId="2" fillId="2" borderId="0" xfId="1" applyFont="1" applyFill="1" applyAlignment="1">
      <alignment horizontal="right" vertical="center"/>
    </xf>
    <xf numFmtId="165" fontId="7" fillId="2" borderId="8" xfId="1" applyFont="1" applyFill="1" applyBorder="1" applyAlignment="1">
      <alignment horizontal="right" vertical="center"/>
    </xf>
    <xf numFmtId="165" fontId="7" fillId="2" borderId="0" xfId="1" applyFont="1" applyFill="1" applyAlignment="1">
      <alignment horizontal="right" vertical="center"/>
    </xf>
    <xf numFmtId="165" fontId="9" fillId="2" borderId="0" xfId="1" applyFont="1" applyFill="1" applyAlignment="1">
      <alignment horizontal="right" vertical="center"/>
    </xf>
    <xf numFmtId="165" fontId="9" fillId="2" borderId="12" xfId="1" applyFont="1" applyFill="1" applyBorder="1" applyAlignment="1">
      <alignment horizontal="right" vertical="center"/>
    </xf>
    <xf numFmtId="165" fontId="3" fillId="2" borderId="10" xfId="1" applyFont="1" applyFill="1" applyBorder="1" applyAlignment="1">
      <alignment horizontal="right" vertical="center"/>
    </xf>
    <xf numFmtId="165" fontId="2" fillId="2" borderId="10" xfId="1" applyFont="1" applyFill="1" applyBorder="1" applyAlignment="1">
      <alignment horizontal="right" vertical="center"/>
    </xf>
    <xf numFmtId="165" fontId="4" fillId="2" borderId="10" xfId="1" applyFont="1" applyFill="1" applyBorder="1" applyAlignment="1">
      <alignment horizontal="right" vertical="center"/>
    </xf>
    <xf numFmtId="165" fontId="7" fillId="2" borderId="11" xfId="1" applyFont="1" applyFill="1" applyBorder="1" applyAlignment="1">
      <alignment horizontal="right" vertical="center"/>
    </xf>
    <xf numFmtId="165" fontId="2" fillId="4" borderId="4" xfId="1" applyFont="1" applyFill="1" applyBorder="1" applyAlignment="1">
      <alignment horizontal="right" vertical="center"/>
    </xf>
    <xf numFmtId="165" fontId="5" fillId="2" borderId="10" xfId="1" applyFont="1" applyFill="1" applyBorder="1" applyAlignment="1">
      <alignment horizontal="right" vertical="center"/>
    </xf>
    <xf numFmtId="165" fontId="7" fillId="2" borderId="10" xfId="1" applyFont="1" applyFill="1" applyBorder="1" applyAlignment="1">
      <alignment horizontal="right" vertical="center"/>
    </xf>
    <xf numFmtId="165" fontId="11" fillId="5" borderId="10" xfId="1" applyFont="1" applyFill="1" applyBorder="1" applyAlignment="1">
      <alignment horizontal="right" vertical="center"/>
    </xf>
    <xf numFmtId="165" fontId="8" fillId="2" borderId="10" xfId="1" applyFont="1" applyFill="1" applyBorder="1" applyAlignment="1">
      <alignment horizontal="right" vertical="center"/>
    </xf>
    <xf numFmtId="165" fontId="2" fillId="4" borderId="3" xfId="1" applyFont="1" applyFill="1" applyBorder="1" applyAlignment="1">
      <alignment horizontal="right" vertical="center"/>
    </xf>
    <xf numFmtId="165" fontId="4" fillId="2" borderId="11" xfId="1" applyFont="1" applyFill="1" applyBorder="1" applyAlignment="1">
      <alignment horizontal="right" vertical="center"/>
    </xf>
    <xf numFmtId="165" fontId="5" fillId="2" borderId="4" xfId="1" applyFont="1" applyFill="1" applyBorder="1" applyAlignment="1">
      <alignment horizontal="right" vertical="center"/>
    </xf>
    <xf numFmtId="165" fontId="7" fillId="3" borderId="4" xfId="1" applyFont="1" applyFill="1" applyBorder="1" applyAlignment="1">
      <alignment horizontal="right" vertical="center"/>
    </xf>
    <xf numFmtId="165" fontId="2" fillId="2" borderId="29" xfId="1" applyFont="1" applyFill="1" applyBorder="1" applyAlignment="1">
      <alignment horizontal="right" vertical="center" wrapText="1"/>
    </xf>
    <xf numFmtId="165" fontId="2" fillId="2" borderId="0" xfId="1" applyFont="1" applyFill="1" applyBorder="1" applyAlignment="1">
      <alignment horizontal="right" vertical="center" wrapText="1"/>
    </xf>
    <xf numFmtId="165" fontId="2" fillId="2" borderId="12" xfId="1" applyFont="1" applyFill="1" applyBorder="1" applyAlignment="1">
      <alignment horizontal="right" vertical="center"/>
    </xf>
    <xf numFmtId="171" fontId="2" fillId="2" borderId="0" xfId="1" applyNumberFormat="1" applyFont="1" applyFill="1" applyAlignment="1">
      <alignment horizontal="right" vertical="center"/>
    </xf>
    <xf numFmtId="165" fontId="7" fillId="2" borderId="8" xfId="1" applyFont="1" applyFill="1" applyBorder="1" applyAlignment="1">
      <alignment horizontal="left" vertical="center"/>
    </xf>
    <xf numFmtId="165" fontId="7" fillId="2" borderId="0" xfId="1" applyFont="1" applyFill="1" applyAlignment="1">
      <alignment horizontal="left" vertical="center"/>
    </xf>
    <xf numFmtId="165" fontId="9" fillId="2" borderId="0" xfId="1" applyFont="1" applyFill="1" applyAlignment="1">
      <alignment horizontal="left" vertical="center"/>
    </xf>
    <xf numFmtId="165" fontId="9" fillId="2" borderId="12" xfId="1" applyFont="1" applyFill="1" applyBorder="1" applyAlignment="1">
      <alignment horizontal="left" vertical="center"/>
    </xf>
    <xf numFmtId="165" fontId="3" fillId="2" borderId="0" xfId="1" applyFont="1" applyFill="1" applyBorder="1" applyAlignment="1">
      <alignment horizontal="left" vertical="center"/>
    </xf>
    <xf numFmtId="165" fontId="2" fillId="2" borderId="0" xfId="1" applyFont="1" applyFill="1" applyBorder="1" applyAlignment="1">
      <alignment horizontal="left" vertical="center"/>
    </xf>
    <xf numFmtId="165" fontId="4" fillId="2" borderId="0" xfId="1" applyFont="1" applyFill="1" applyBorder="1" applyAlignment="1">
      <alignment horizontal="left" vertical="center"/>
    </xf>
    <xf numFmtId="165" fontId="7" fillId="2" borderId="12" xfId="1" applyFont="1" applyFill="1" applyBorder="1" applyAlignment="1">
      <alignment horizontal="left" vertical="center"/>
    </xf>
    <xf numFmtId="165" fontId="2" fillId="4" borderId="4" xfId="1" applyFont="1" applyFill="1" applyBorder="1" applyAlignment="1">
      <alignment horizontal="left" vertical="center"/>
    </xf>
    <xf numFmtId="165" fontId="5" fillId="2" borderId="0" xfId="1" applyFont="1" applyFill="1" applyBorder="1" applyAlignment="1">
      <alignment horizontal="left" vertical="center"/>
    </xf>
    <xf numFmtId="165" fontId="7" fillId="2" borderId="0" xfId="1" applyFont="1" applyFill="1" applyBorder="1" applyAlignment="1">
      <alignment horizontal="left" vertical="center"/>
    </xf>
    <xf numFmtId="165" fontId="11" fillId="5" borderId="0" xfId="1" applyFont="1" applyFill="1" applyBorder="1" applyAlignment="1">
      <alignment horizontal="left" vertical="center"/>
    </xf>
    <xf numFmtId="165" fontId="8" fillId="2" borderId="0" xfId="1" applyFont="1" applyFill="1" applyBorder="1" applyAlignment="1">
      <alignment horizontal="left" vertical="center"/>
    </xf>
    <xf numFmtId="165" fontId="5" fillId="4" borderId="4" xfId="1" applyFont="1" applyFill="1" applyBorder="1" applyAlignment="1">
      <alignment horizontal="left" vertical="center"/>
    </xf>
    <xf numFmtId="165" fontId="4" fillId="2" borderId="12" xfId="1" applyFont="1" applyFill="1" applyBorder="1" applyAlignment="1">
      <alignment horizontal="left" vertical="center"/>
    </xf>
    <xf numFmtId="165" fontId="5" fillId="2" borderId="4" xfId="1" applyFont="1" applyFill="1" applyBorder="1" applyAlignment="1">
      <alignment horizontal="left" vertical="center"/>
    </xf>
    <xf numFmtId="165" fontId="7" fillId="3" borderId="4" xfId="1" applyFont="1" applyFill="1" applyBorder="1" applyAlignment="1">
      <alignment horizontal="left" vertical="center"/>
    </xf>
    <xf numFmtId="165" fontId="2" fillId="2" borderId="29" xfId="1" applyFont="1" applyFill="1" applyBorder="1" applyAlignment="1">
      <alignment horizontal="left" vertical="center" wrapText="1"/>
    </xf>
    <xf numFmtId="165" fontId="2" fillId="2" borderId="0" xfId="1" applyFont="1" applyFill="1" applyBorder="1" applyAlignment="1">
      <alignment horizontal="left" vertical="center" wrapText="1"/>
    </xf>
    <xf numFmtId="165" fontId="16" fillId="2" borderId="19" xfId="1" applyFont="1" applyFill="1" applyBorder="1" applyAlignment="1">
      <alignment horizontal="left" vertical="center"/>
    </xf>
    <xf numFmtId="165" fontId="5" fillId="2" borderId="0" xfId="1" applyFont="1" applyFill="1" applyAlignment="1">
      <alignment vertical="center"/>
    </xf>
    <xf numFmtId="165" fontId="7" fillId="2" borderId="0" xfId="1" applyFont="1" applyFill="1" applyBorder="1" applyAlignment="1">
      <alignment vertical="center"/>
    </xf>
    <xf numFmtId="165" fontId="9" fillId="2" borderId="0" xfId="1" applyFont="1" applyFill="1" applyBorder="1" applyAlignment="1">
      <alignment vertical="center"/>
    </xf>
    <xf numFmtId="165" fontId="16" fillId="2" borderId="13" xfId="1" applyFont="1" applyFill="1" applyBorder="1" applyAlignment="1">
      <alignment vertical="center"/>
    </xf>
    <xf numFmtId="165" fontId="16" fillId="6" borderId="13" xfId="1" applyFont="1" applyFill="1" applyBorder="1" applyAlignment="1">
      <alignment vertical="center"/>
    </xf>
    <xf numFmtId="165" fontId="8" fillId="2" borderId="13" xfId="1" applyFont="1" applyFill="1" applyBorder="1" applyAlignment="1">
      <alignment vertical="center"/>
    </xf>
    <xf numFmtId="165" fontId="7" fillId="2" borderId="15" xfId="1" applyFont="1" applyFill="1" applyBorder="1" applyAlignment="1">
      <alignment vertical="center"/>
    </xf>
    <xf numFmtId="165" fontId="5" fillId="4" borderId="4" xfId="1" applyFont="1" applyFill="1" applyBorder="1" applyAlignment="1">
      <alignment vertical="center"/>
    </xf>
    <xf numFmtId="165" fontId="7" fillId="2" borderId="13" xfId="1" applyFont="1" applyFill="1" applyBorder="1" applyAlignment="1">
      <alignment vertical="center"/>
    </xf>
    <xf numFmtId="165" fontId="13" fillId="2" borderId="13" xfId="1" applyFont="1" applyFill="1" applyBorder="1" applyAlignment="1">
      <alignment vertical="center"/>
    </xf>
    <xf numFmtId="165" fontId="8" fillId="5" borderId="13" xfId="1" applyFont="1" applyFill="1" applyBorder="1" applyAlignment="1">
      <alignment vertical="center"/>
    </xf>
    <xf numFmtId="165" fontId="8" fillId="5" borderId="0" xfId="1" applyFont="1" applyFill="1" applyBorder="1" applyAlignment="1">
      <alignment vertical="center"/>
    </xf>
    <xf numFmtId="165" fontId="8" fillId="5" borderId="15" xfId="1" applyFont="1" applyFill="1" applyBorder="1" applyAlignment="1">
      <alignment vertical="center"/>
    </xf>
    <xf numFmtId="165" fontId="16" fillId="2" borderId="13" xfId="1" applyFont="1" applyFill="1" applyBorder="1" applyAlignment="1">
      <alignment vertical="top"/>
    </xf>
    <xf numFmtId="165" fontId="11" fillId="5" borderId="13" xfId="1" applyFont="1" applyFill="1" applyBorder="1" applyAlignment="1">
      <alignment vertical="center"/>
    </xf>
    <xf numFmtId="165" fontId="8" fillId="2" borderId="15" xfId="1" applyFont="1" applyFill="1" applyBorder="1" applyAlignment="1">
      <alignment vertical="center"/>
    </xf>
    <xf numFmtId="165" fontId="5" fillId="2" borderId="29" xfId="1" applyFont="1" applyFill="1" applyBorder="1" applyAlignment="1">
      <alignment vertical="center" wrapText="1"/>
    </xf>
    <xf numFmtId="165" fontId="5" fillId="2" borderId="0" xfId="1" applyFont="1" applyFill="1" applyBorder="1" applyAlignment="1">
      <alignment vertical="center" wrapText="1"/>
    </xf>
    <xf numFmtId="165" fontId="8" fillId="2" borderId="13" xfId="1" applyFont="1" applyFill="1" applyBorder="1" applyAlignment="1">
      <alignment horizontal="right" vertical="center"/>
    </xf>
    <xf numFmtId="43" fontId="5" fillId="2" borderId="19" xfId="1" applyNumberFormat="1" applyFont="1" applyFill="1" applyBorder="1" applyAlignment="1">
      <alignment horizontal="center" vertical="center"/>
    </xf>
    <xf numFmtId="165" fontId="5" fillId="2" borderId="0" xfId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left" vertical="top" wrapText="1"/>
    </xf>
    <xf numFmtId="0" fontId="2" fillId="2" borderId="0" xfId="0" quotePrefix="1" applyFont="1" applyFill="1" applyAlignment="1">
      <alignment horizontal="left" vertical="top" wrapText="1"/>
    </xf>
    <xf numFmtId="0" fontId="2" fillId="2" borderId="13" xfId="0" quotePrefix="1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center" vertical="center"/>
    </xf>
    <xf numFmtId="165" fontId="2" fillId="2" borderId="0" xfId="1" applyFont="1" applyFill="1" applyBorder="1" applyAlignment="1">
      <alignment horizontal="center" vertical="center"/>
    </xf>
    <xf numFmtId="0" fontId="5" fillId="2" borderId="10" xfId="0" quotePrefix="1" applyFont="1" applyFill="1" applyBorder="1" applyAlignment="1">
      <alignment horizontal="left" vertical="top" wrapText="1"/>
    </xf>
    <xf numFmtId="0" fontId="5" fillId="2" borderId="0" xfId="0" quotePrefix="1" applyFont="1" applyFill="1" applyAlignment="1">
      <alignment horizontal="left" vertical="top" wrapText="1"/>
    </xf>
    <xf numFmtId="0" fontId="5" fillId="2" borderId="13" xfId="0" quotePrefix="1" applyFont="1" applyFill="1" applyBorder="1" applyAlignment="1">
      <alignment horizontal="left" vertical="top" wrapText="1"/>
    </xf>
    <xf numFmtId="167" fontId="21" fillId="5" borderId="0" xfId="0" applyNumberFormat="1" applyFont="1" applyFill="1" applyAlignment="1">
      <alignment horizontal="left" vertical="center"/>
    </xf>
    <xf numFmtId="167" fontId="21" fillId="5" borderId="37" xfId="0" applyNumberFormat="1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167" fontId="1" fillId="2" borderId="0" xfId="0" applyNumberFormat="1" applyFont="1" applyFill="1" applyAlignment="1">
      <alignment horizontal="left" vertical="center"/>
    </xf>
    <xf numFmtId="173" fontId="2" fillId="2" borderId="0" xfId="0" applyNumberFormat="1" applyFont="1" applyFill="1" applyAlignment="1">
      <alignment vertical="top" wrapText="1"/>
    </xf>
    <xf numFmtId="173" fontId="2" fillId="2" borderId="13" xfId="0" applyNumberFormat="1" applyFont="1" applyFill="1" applyBorder="1" applyAlignment="1">
      <alignment vertical="top" wrapText="1"/>
    </xf>
    <xf numFmtId="173" fontId="2" fillId="2" borderId="10" xfId="0" applyNumberFormat="1" applyFont="1" applyFill="1" applyBorder="1" applyAlignment="1">
      <alignment horizontal="left" vertical="top" wrapText="1"/>
    </xf>
    <xf numFmtId="173" fontId="2" fillId="2" borderId="0" xfId="0" applyNumberFormat="1" applyFont="1" applyFill="1" applyAlignment="1">
      <alignment horizontal="left" vertical="top" wrapText="1"/>
    </xf>
    <xf numFmtId="167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173" fontId="3" fillId="2" borderId="0" xfId="0" applyNumberFormat="1" applyFont="1" applyFill="1" applyAlignment="1">
      <alignment vertical="top" wrapText="1"/>
    </xf>
    <xf numFmtId="173" fontId="3" fillId="2" borderId="13" xfId="0" applyNumberFormat="1" applyFont="1" applyFill="1" applyBorder="1" applyAlignment="1">
      <alignment vertical="top" wrapText="1"/>
    </xf>
    <xf numFmtId="0" fontId="5" fillId="2" borderId="10" xfId="0" applyFont="1" applyFill="1" applyBorder="1" applyAlignment="1">
      <alignment horizontal="left" vertical="center" wrapText="1"/>
    </xf>
    <xf numFmtId="165" fontId="2" fillId="2" borderId="12" xfId="1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5" fontId="5" fillId="2" borderId="0" xfId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9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top"/>
    </xf>
    <xf numFmtId="0" fontId="5" fillId="2" borderId="9" xfId="0" applyFont="1" applyFill="1" applyBorder="1" applyAlignment="1">
      <alignment horizontal="left" vertical="top"/>
    </xf>
    <xf numFmtId="0" fontId="2" fillId="2" borderId="0" xfId="0" applyFont="1" applyFill="1" applyAlignment="1">
      <alignment vertical="top" wrapText="1"/>
    </xf>
    <xf numFmtId="167" fontId="2" fillId="2" borderId="10" xfId="0" applyNumberFormat="1" applyFont="1" applyFill="1" applyBorder="1" applyAlignment="1">
      <alignment horizontal="left" vertical="top"/>
    </xf>
    <xf numFmtId="165" fontId="8" fillId="2" borderId="10" xfId="1" applyFont="1" applyFill="1" applyBorder="1" applyAlignment="1">
      <alignment horizontal="center" vertical="center"/>
    </xf>
    <xf numFmtId="167" fontId="2" fillId="2" borderId="0" xfId="1" applyNumberFormat="1" applyFont="1" applyFill="1" applyBorder="1" applyAlignment="1">
      <alignment horizontal="left" vertical="center"/>
    </xf>
    <xf numFmtId="165" fontId="13" fillId="2" borderId="0" xfId="1" applyFont="1" applyFill="1" applyBorder="1" applyAlignment="1">
      <alignment horizontal="center" vertical="center"/>
    </xf>
    <xf numFmtId="165" fontId="13" fillId="2" borderId="1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165" fontId="7" fillId="3" borderId="3" xfId="1" applyFont="1" applyFill="1" applyBorder="1" applyAlignment="1">
      <alignment horizontal="center" vertical="center"/>
    </xf>
    <xf numFmtId="165" fontId="7" fillId="3" borderId="5" xfId="1" applyFont="1" applyFill="1" applyBorder="1" applyAlignment="1">
      <alignment horizontal="center" vertical="center"/>
    </xf>
    <xf numFmtId="165" fontId="7" fillId="3" borderId="17" xfId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1" fillId="5" borderId="10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2" fillId="2" borderId="10" xfId="0" quotePrefix="1" applyFont="1" applyFill="1" applyBorder="1" applyAlignment="1">
      <alignment horizontal="left" vertical="top" wrapText="1"/>
    </xf>
    <xf numFmtId="0" fontId="2" fillId="2" borderId="0" xfId="0" quotePrefix="1" applyFont="1" applyFill="1" applyAlignment="1">
      <alignment horizontal="left" vertical="top" wrapText="1"/>
    </xf>
    <xf numFmtId="0" fontId="2" fillId="2" borderId="13" xfId="0" quotePrefix="1" applyFont="1" applyFill="1" applyBorder="1" applyAlignment="1">
      <alignment horizontal="left" vertical="top" wrapText="1"/>
    </xf>
    <xf numFmtId="0" fontId="5" fillId="2" borderId="10" xfId="0" quotePrefix="1" applyFont="1" applyFill="1" applyBorder="1" applyAlignment="1">
      <alignment horizontal="left" vertical="top" wrapText="1"/>
    </xf>
    <xf numFmtId="0" fontId="5" fillId="2" borderId="0" xfId="0" quotePrefix="1" applyFont="1" applyFill="1" applyAlignment="1">
      <alignment horizontal="left" vertical="top" wrapText="1"/>
    </xf>
    <xf numFmtId="0" fontId="5" fillId="2" borderId="13" xfId="0" quotePrefix="1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13" xfId="0" applyFont="1" applyFill="1" applyBorder="1" applyAlignment="1">
      <alignment horizontal="left" vertical="top" wrapText="1"/>
    </xf>
    <xf numFmtId="172" fontId="2" fillId="2" borderId="10" xfId="0" applyNumberFormat="1" applyFont="1" applyFill="1" applyBorder="1" applyAlignment="1">
      <alignment horizontal="left" vertical="center"/>
    </xf>
    <xf numFmtId="172" fontId="2" fillId="2" borderId="0" xfId="0" applyNumberFormat="1" applyFont="1" applyFill="1" applyAlignment="1">
      <alignment horizontal="left" vertical="center"/>
    </xf>
    <xf numFmtId="172" fontId="2" fillId="2" borderId="13" xfId="0" applyNumberFormat="1" applyFont="1" applyFill="1" applyBorder="1" applyAlignment="1">
      <alignment horizontal="left" vertical="center"/>
    </xf>
    <xf numFmtId="0" fontId="11" fillId="5" borderId="13" xfId="0" applyFont="1" applyFill="1" applyBorder="1" applyAlignment="1">
      <alignment horizontal="center" vertical="center"/>
    </xf>
    <xf numFmtId="0" fontId="2" fillId="2" borderId="31" xfId="1" applyNumberFormat="1" applyFont="1" applyFill="1" applyBorder="1" applyAlignment="1">
      <alignment horizontal="left" vertical="center" wrapText="1"/>
    </xf>
    <xf numFmtId="0" fontId="2" fillId="2" borderId="32" xfId="1" applyNumberFormat="1" applyFont="1" applyFill="1" applyBorder="1" applyAlignment="1">
      <alignment horizontal="left" vertical="center" wrapText="1"/>
    </xf>
    <xf numFmtId="0" fontId="2" fillId="2" borderId="36" xfId="1" applyNumberFormat="1" applyFont="1" applyFill="1" applyBorder="1" applyAlignment="1">
      <alignment horizontal="left" vertical="center" wrapText="1"/>
    </xf>
    <xf numFmtId="167" fontId="21" fillId="5" borderId="10" xfId="0" applyNumberFormat="1" applyFont="1" applyFill="1" applyBorder="1" applyAlignment="1">
      <alignment horizontal="left" vertical="top" wrapText="1"/>
    </xf>
    <xf numFmtId="167" fontId="21" fillId="5" borderId="0" xfId="0" applyNumberFormat="1" applyFont="1" applyFill="1" applyAlignment="1">
      <alignment horizontal="left" vertical="top" wrapText="1"/>
    </xf>
    <xf numFmtId="167" fontId="21" fillId="5" borderId="13" xfId="0" applyNumberFormat="1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center" wrapText="1"/>
    </xf>
    <xf numFmtId="9" fontId="2" fillId="2" borderId="0" xfId="0" applyNumberFormat="1" applyFont="1" applyFill="1" applyAlignment="1">
      <alignment horizontal="left" vertical="center" wrapText="1"/>
    </xf>
    <xf numFmtId="43" fontId="2" fillId="2" borderId="0" xfId="0" applyNumberFormat="1" applyFont="1" applyFill="1" applyAlignment="1">
      <alignment horizontal="center" vertical="center"/>
    </xf>
    <xf numFmtId="165" fontId="7" fillId="3" borderId="4" xfId="1" applyFont="1" applyFill="1" applyBorder="1" applyAlignment="1">
      <alignment horizontal="center" vertical="center"/>
    </xf>
    <xf numFmtId="0" fontId="2" fillId="2" borderId="22" xfId="1" applyNumberFormat="1" applyFont="1" applyFill="1" applyBorder="1" applyAlignment="1">
      <alignment horizontal="left" vertical="center" wrapText="1"/>
    </xf>
    <xf numFmtId="0" fontId="2" fillId="2" borderId="23" xfId="1" applyNumberFormat="1" applyFont="1" applyFill="1" applyBorder="1" applyAlignment="1">
      <alignment horizontal="left" vertical="center" wrapText="1"/>
    </xf>
    <xf numFmtId="0" fontId="2" fillId="2" borderId="33" xfId="1" applyNumberFormat="1" applyFont="1" applyFill="1" applyBorder="1" applyAlignment="1">
      <alignment horizontal="left" vertical="center" wrapText="1"/>
    </xf>
    <xf numFmtId="0" fontId="2" fillId="2" borderId="25" xfId="1" applyNumberFormat="1" applyFont="1" applyFill="1" applyBorder="1" applyAlignment="1">
      <alignment horizontal="left" vertical="center" wrapText="1"/>
    </xf>
    <xf numFmtId="0" fontId="2" fillId="2" borderId="26" xfId="1" applyNumberFormat="1" applyFont="1" applyFill="1" applyBorder="1" applyAlignment="1">
      <alignment horizontal="left" vertical="center" wrapText="1"/>
    </xf>
    <xf numFmtId="0" fontId="2" fillId="2" borderId="34" xfId="1" applyNumberFormat="1" applyFont="1" applyFill="1" applyBorder="1" applyAlignment="1">
      <alignment horizontal="left" vertical="center" wrapText="1"/>
    </xf>
  </cellXfs>
  <cellStyles count="12">
    <cellStyle name="Comma" xfId="1" builtinId="3"/>
    <cellStyle name="Comma 2" xfId="2" xr:uid="{00000000-0005-0000-0000-000031000000}"/>
    <cellStyle name="Currency 2" xfId="3" xr:uid="{00000000-0005-0000-0000-000032000000}"/>
    <cellStyle name="Hyperlink 2" xfId="4" xr:uid="{00000000-0005-0000-0000-000033000000}"/>
    <cellStyle name="Normal" xfId="0" builtinId="0"/>
    <cellStyle name="Normal 2" xfId="5" xr:uid="{00000000-0005-0000-0000-000034000000}"/>
    <cellStyle name="Normal 2 2" xfId="6" xr:uid="{00000000-0005-0000-0000-000035000000}"/>
    <cellStyle name="千分位 2" xfId="7" xr:uid="{00000000-0005-0000-0000-000036000000}"/>
    <cellStyle name="千分位 2 2" xfId="8" xr:uid="{00000000-0005-0000-0000-000037000000}"/>
    <cellStyle name="常规 2" xfId="9" xr:uid="{00000000-0005-0000-0000-000038000000}"/>
    <cellStyle name="常规 2 2" xfId="10" xr:uid="{00000000-0005-0000-0000-000039000000}"/>
    <cellStyle name="常规 3" xfId="11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1891741</xdr:colOff>
      <xdr:row>0</xdr:row>
      <xdr:rowOff>321235</xdr:rowOff>
    </xdr:from>
    <xdr:to>
      <xdr:col>4</xdr:col>
      <xdr:colOff>3503706</xdr:colOff>
      <xdr:row>8</xdr:row>
      <xdr:rowOff>20383</xdr:rowOff>
    </xdr:to>
    <xdr:pic>
      <xdr:nvPicPr>
        <xdr:cNvPr id="2" name="圖片 6">
          <a:extLst>
            <a:ext uri="{FF2B5EF4-FFF2-40B4-BE49-F238E27FC236}">
              <a16:creationId xmlns:a16="http://schemas.microsoft.com/office/drawing/2014/main" id="{34A99A27-BDC1-A941-9AA1-7EDD1B575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3209" y="321235"/>
          <a:ext cx="1611965" cy="1505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wrence.li@mattex.com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25C4-754C-BF41-A0C2-94A5790AB999}">
  <dimension ref="B1:P289"/>
  <sheetViews>
    <sheetView tabSelected="1" view="pageBreakPreview" zoomScale="68" zoomScaleNormal="75" zoomScaleSheetLayoutView="68" zoomScalePageLayoutView="150" workbookViewId="0">
      <selection activeCell="C33" sqref="C33"/>
    </sheetView>
  </sheetViews>
  <sheetFormatPr baseColWidth="10" defaultColWidth="12.5" defaultRowHeight="16" outlineLevelRow="1"/>
  <cols>
    <col min="1" max="1" width="3.5" style="2" customWidth="1"/>
    <col min="2" max="2" width="12.5" style="2"/>
    <col min="3" max="3" width="40" style="2" customWidth="1"/>
    <col min="4" max="4" width="12.5" style="3" customWidth="1"/>
    <col min="5" max="5" width="85.1640625" style="3" customWidth="1"/>
    <col min="6" max="6" width="5.5" style="157" customWidth="1"/>
    <col min="7" max="7" width="18.83203125" style="31" customWidth="1"/>
    <col min="8" max="8" width="3.5" style="127" customWidth="1"/>
    <col min="9" max="9" width="21" style="199" customWidth="1"/>
    <col min="10" max="10" width="2.5" style="68" customWidth="1"/>
    <col min="11" max="11" width="24.5" style="68" customWidth="1"/>
    <col min="12" max="12" width="12.5" style="2"/>
    <col min="13" max="14" width="12.5" style="6"/>
    <col min="15" max="16384" width="12.5" style="2"/>
  </cols>
  <sheetData>
    <row r="1" spans="2:11" ht="33">
      <c r="J1" s="69" t="s">
        <v>0</v>
      </c>
      <c r="K1" s="69"/>
    </row>
    <row r="2" spans="2:11">
      <c r="E2" s="63"/>
    </row>
    <row r="3" spans="2:11">
      <c r="E3" s="63"/>
    </row>
    <row r="5" spans="2:11">
      <c r="E5" s="63"/>
    </row>
    <row r="7" spans="2:11">
      <c r="B7" s="4" t="s">
        <v>45</v>
      </c>
      <c r="C7" s="7" t="s">
        <v>227</v>
      </c>
      <c r="I7" s="199" t="s">
        <v>1</v>
      </c>
      <c r="J7" s="148" t="s">
        <v>2</v>
      </c>
      <c r="K7" s="107">
        <v>46300</v>
      </c>
    </row>
    <row r="8" spans="2:11">
      <c r="B8" s="4" t="s">
        <v>7</v>
      </c>
      <c r="C8" s="7" t="s">
        <v>228</v>
      </c>
      <c r="I8" s="199" t="s">
        <v>3</v>
      </c>
      <c r="J8" s="148" t="s">
        <v>2</v>
      </c>
      <c r="K8" s="2" t="s">
        <v>232</v>
      </c>
    </row>
    <row r="9" spans="2:11">
      <c r="B9" s="4" t="s">
        <v>8</v>
      </c>
      <c r="C9" s="5"/>
      <c r="I9" s="199" t="s">
        <v>4</v>
      </c>
      <c r="J9" s="148" t="s">
        <v>2</v>
      </c>
      <c r="K9" s="108" t="s">
        <v>230</v>
      </c>
    </row>
    <row r="10" spans="2:11">
      <c r="B10" s="4" t="s">
        <v>9</v>
      </c>
      <c r="C10" s="7" t="s">
        <v>229</v>
      </c>
      <c r="I10" s="199" t="s">
        <v>5</v>
      </c>
      <c r="J10" s="148" t="s">
        <v>2</v>
      </c>
    </row>
    <row r="11" spans="2:11">
      <c r="B11" s="4" t="s">
        <v>46</v>
      </c>
      <c r="C11" s="7"/>
      <c r="I11" s="199" t="s">
        <v>6</v>
      </c>
      <c r="J11" s="148" t="s">
        <v>2</v>
      </c>
    </row>
    <row r="12" spans="2:11">
      <c r="B12" s="4" t="s">
        <v>10</v>
      </c>
      <c r="C12" s="2" t="s">
        <v>231</v>
      </c>
    </row>
    <row r="13" spans="2:11" ht="30" customHeight="1">
      <c r="B13" s="10"/>
      <c r="C13" s="258"/>
      <c r="D13" s="258"/>
      <c r="E13" s="258"/>
      <c r="F13" s="258"/>
      <c r="G13" s="258"/>
      <c r="H13" s="258"/>
      <c r="I13" s="258"/>
      <c r="J13" s="258"/>
      <c r="K13" s="258"/>
    </row>
    <row r="14" spans="2:11" ht="17" customHeight="1" thickBot="1">
      <c r="B14" s="62" t="s">
        <v>48</v>
      </c>
      <c r="C14" s="11" t="s">
        <v>47</v>
      </c>
    </row>
    <row r="15" spans="2:11" ht="16.5" customHeight="1" thickBot="1">
      <c r="B15" s="12" t="s">
        <v>11</v>
      </c>
      <c r="C15" s="259" t="s">
        <v>12</v>
      </c>
      <c r="D15" s="260"/>
      <c r="E15" s="260"/>
      <c r="F15" s="261" t="s">
        <v>81</v>
      </c>
      <c r="G15" s="262"/>
      <c r="H15" s="261" t="s">
        <v>78</v>
      </c>
      <c r="I15" s="262"/>
      <c r="J15" s="261" t="s">
        <v>13</v>
      </c>
      <c r="K15" s="263"/>
    </row>
    <row r="16" spans="2:11">
      <c r="B16" s="13"/>
      <c r="C16" s="14" t="s">
        <v>14</v>
      </c>
      <c r="D16" s="15"/>
      <c r="E16" s="15"/>
      <c r="F16" s="158"/>
      <c r="G16" s="179"/>
      <c r="H16" s="128"/>
      <c r="I16" s="128"/>
      <c r="J16" s="70"/>
      <c r="K16" s="71"/>
    </row>
    <row r="17" spans="2:16" ht="33.75" customHeight="1">
      <c r="B17" s="16"/>
      <c r="C17" s="264" t="s">
        <v>87</v>
      </c>
      <c r="D17" s="265"/>
      <c r="E17" s="265"/>
      <c r="F17" s="159"/>
      <c r="G17" s="180"/>
      <c r="H17" s="129"/>
      <c r="I17" s="200"/>
      <c r="J17" s="72"/>
      <c r="K17" s="73"/>
    </row>
    <row r="18" spans="2:16">
      <c r="B18" s="16"/>
      <c r="C18" s="17"/>
      <c r="D18" s="9"/>
      <c r="E18" s="9"/>
      <c r="F18" s="159"/>
      <c r="G18" s="180"/>
      <c r="H18" s="129"/>
      <c r="I18" s="200"/>
      <c r="J18" s="72"/>
      <c r="K18" s="73"/>
    </row>
    <row r="19" spans="2:16" ht="17">
      <c r="B19" s="16"/>
      <c r="C19" s="18" t="s">
        <v>15</v>
      </c>
      <c r="D19" s="105">
        <v>39</v>
      </c>
      <c r="E19" s="65" t="s">
        <v>16</v>
      </c>
      <c r="F19" s="160"/>
      <c r="G19" s="181"/>
      <c r="H19" s="130"/>
      <c r="I19" s="201"/>
      <c r="J19" s="74"/>
      <c r="K19" s="75"/>
    </row>
    <row r="20" spans="2:16" ht="17" thickBot="1">
      <c r="B20" s="16"/>
      <c r="C20" s="19"/>
      <c r="D20" s="20"/>
      <c r="E20" s="20"/>
      <c r="F20" s="161"/>
      <c r="G20" s="182"/>
      <c r="H20" s="131"/>
      <c r="I20" s="131"/>
      <c r="J20" s="76"/>
      <c r="K20" s="77"/>
      <c r="M20" s="2"/>
      <c r="N20" s="2"/>
    </row>
    <row r="21" spans="2:16" ht="20">
      <c r="B21" s="21"/>
      <c r="C21" s="22" t="s">
        <v>51</v>
      </c>
      <c r="D21" s="23"/>
      <c r="E21" s="24"/>
      <c r="F21" s="162"/>
      <c r="G21" s="183"/>
      <c r="H21" s="132"/>
      <c r="I21" s="202"/>
      <c r="J21" s="149"/>
      <c r="K21" s="78"/>
      <c r="M21" s="247"/>
      <c r="N21" s="248"/>
      <c r="O21" s="249"/>
      <c r="P21" s="248"/>
    </row>
    <row r="22" spans="2:16">
      <c r="B22" s="25"/>
      <c r="C22" s="26"/>
      <c r="D22" s="27"/>
      <c r="F22" s="162"/>
      <c r="G22" s="183"/>
      <c r="H22" s="132"/>
      <c r="I22" s="202"/>
      <c r="J22" s="114"/>
      <c r="K22" s="79"/>
    </row>
    <row r="23" spans="2:16" ht="18" customHeight="1">
      <c r="B23" s="25"/>
      <c r="C23" s="28" t="s">
        <v>17</v>
      </c>
      <c r="D23" s="27"/>
      <c r="E23" s="27"/>
      <c r="F23" s="163"/>
      <c r="G23" s="184"/>
      <c r="H23" s="133"/>
      <c r="I23" s="203"/>
      <c r="J23" s="113"/>
      <c r="K23" s="80"/>
    </row>
    <row r="24" spans="2:16" ht="18" customHeight="1">
      <c r="B24" s="29" t="s">
        <v>18</v>
      </c>
      <c r="C24" s="30" t="s">
        <v>267</v>
      </c>
      <c r="D24" s="27"/>
      <c r="E24" s="27"/>
      <c r="F24" s="163"/>
      <c r="G24" s="184"/>
      <c r="H24" s="133"/>
      <c r="I24" s="203"/>
      <c r="J24" s="156"/>
      <c r="K24" s="80"/>
    </row>
    <row r="25" spans="2:16" ht="18" customHeight="1">
      <c r="B25" s="29" t="s">
        <v>49</v>
      </c>
      <c r="C25" s="30" t="s">
        <v>113</v>
      </c>
      <c r="D25" s="31"/>
      <c r="E25" s="27"/>
      <c r="F25" s="164"/>
      <c r="G25" s="185"/>
      <c r="H25" s="134"/>
      <c r="I25" s="204"/>
      <c r="J25" s="113"/>
      <c r="K25" s="81"/>
    </row>
    <row r="26" spans="2:16" ht="19" customHeight="1">
      <c r="B26" s="29" t="s">
        <v>50</v>
      </c>
      <c r="C26" s="30" t="s">
        <v>88</v>
      </c>
      <c r="D26" s="31"/>
      <c r="E26" s="27"/>
      <c r="F26" s="164"/>
      <c r="G26" s="185"/>
      <c r="H26" s="134"/>
      <c r="I26" s="204"/>
      <c r="J26" s="113"/>
      <c r="K26" s="81"/>
    </row>
    <row r="27" spans="2:16" ht="18" customHeight="1">
      <c r="B27" s="29" t="s">
        <v>83</v>
      </c>
      <c r="C27" s="30" t="s">
        <v>89</v>
      </c>
      <c r="D27" s="32"/>
      <c r="E27" s="27"/>
      <c r="F27" s="164"/>
      <c r="G27" s="185"/>
      <c r="H27" s="134"/>
      <c r="I27" s="204"/>
      <c r="J27" s="113"/>
      <c r="K27" s="81"/>
    </row>
    <row r="28" spans="2:16" ht="18" customHeight="1" outlineLevel="1">
      <c r="B28" s="29" t="s">
        <v>84</v>
      </c>
      <c r="C28" s="30" t="s">
        <v>90</v>
      </c>
      <c r="D28" s="32"/>
      <c r="E28" s="27"/>
      <c r="F28" s="164"/>
      <c r="G28" s="185"/>
      <c r="H28" s="134"/>
      <c r="I28" s="204"/>
      <c r="J28" s="113"/>
      <c r="K28" s="81"/>
    </row>
    <row r="29" spans="2:16" ht="18" customHeight="1" outlineLevel="1">
      <c r="B29" s="29" t="s">
        <v>85</v>
      </c>
      <c r="C29" s="30" t="s">
        <v>224</v>
      </c>
      <c r="D29" s="32"/>
      <c r="E29" s="27"/>
      <c r="F29" s="164"/>
      <c r="G29" s="185"/>
      <c r="H29" s="134"/>
      <c r="I29" s="204"/>
      <c r="J29" s="113"/>
      <c r="K29" s="81"/>
    </row>
    <row r="30" spans="2:16" ht="18" customHeight="1" outlineLevel="1">
      <c r="B30" s="29" t="s">
        <v>86</v>
      </c>
      <c r="C30" s="30" t="s">
        <v>91</v>
      </c>
      <c r="D30" s="32"/>
      <c r="E30" s="27"/>
      <c r="F30" s="164"/>
      <c r="G30" s="185"/>
      <c r="H30" s="134"/>
      <c r="I30" s="204"/>
      <c r="J30" s="113"/>
      <c r="K30" s="81"/>
    </row>
    <row r="31" spans="2:16" ht="18" customHeight="1" outlineLevel="1">
      <c r="B31" s="29" t="s">
        <v>201</v>
      </c>
      <c r="C31" s="30" t="s">
        <v>225</v>
      </c>
      <c r="D31" s="31"/>
      <c r="E31" s="27"/>
      <c r="F31" s="164"/>
      <c r="G31" s="185"/>
      <c r="H31" s="134"/>
      <c r="I31" s="204"/>
      <c r="J31" s="113"/>
      <c r="K31" s="81"/>
    </row>
    <row r="32" spans="2:16" ht="18" customHeight="1" outlineLevel="1">
      <c r="B32" s="29" t="s">
        <v>212</v>
      </c>
      <c r="C32" s="30" t="s">
        <v>226</v>
      </c>
      <c r="D32" s="31"/>
      <c r="E32" s="27"/>
      <c r="F32" s="164"/>
      <c r="G32" s="185"/>
      <c r="H32" s="134"/>
      <c r="I32" s="204"/>
      <c r="J32" s="113"/>
      <c r="K32" s="81"/>
    </row>
    <row r="33" spans="2:11" ht="18" customHeight="1" outlineLevel="1">
      <c r="B33" s="29" t="s">
        <v>222</v>
      </c>
      <c r="C33" s="30" t="s">
        <v>234</v>
      </c>
      <c r="D33" s="31"/>
      <c r="E33" s="27"/>
      <c r="F33" s="164"/>
      <c r="G33" s="185"/>
      <c r="H33" s="134"/>
      <c r="I33" s="204"/>
      <c r="J33" s="113"/>
      <c r="K33" s="81"/>
    </row>
    <row r="34" spans="2:11" ht="18" customHeight="1" outlineLevel="1">
      <c r="B34" s="29" t="s">
        <v>235</v>
      </c>
      <c r="C34" s="30" t="s">
        <v>237</v>
      </c>
      <c r="D34" s="31"/>
      <c r="E34" s="27"/>
      <c r="F34" s="164"/>
      <c r="G34" s="185"/>
      <c r="H34" s="134"/>
      <c r="I34" s="204"/>
      <c r="J34" s="113"/>
      <c r="K34" s="81"/>
    </row>
    <row r="35" spans="2:11" ht="18" customHeight="1" outlineLevel="1">
      <c r="B35" s="29" t="s">
        <v>236</v>
      </c>
      <c r="C35" s="30" t="s">
        <v>92</v>
      </c>
      <c r="D35" s="31"/>
      <c r="E35" s="27"/>
      <c r="F35" s="164"/>
      <c r="G35" s="185"/>
      <c r="H35" s="134"/>
      <c r="I35" s="204"/>
      <c r="J35" s="113"/>
      <c r="K35" s="81"/>
    </row>
    <row r="36" spans="2:11" ht="17" thickBot="1">
      <c r="B36" s="33"/>
      <c r="C36" s="34"/>
      <c r="D36" s="35"/>
      <c r="E36" s="36"/>
      <c r="F36" s="165"/>
      <c r="G36" s="186"/>
      <c r="H36" s="135"/>
      <c r="I36" s="205"/>
      <c r="J36" s="117"/>
      <c r="K36" s="82"/>
    </row>
    <row r="37" spans="2:11" ht="21" thickBot="1">
      <c r="B37" s="37" t="s">
        <v>19</v>
      </c>
      <c r="C37" s="38"/>
      <c r="D37" s="39"/>
      <c r="E37" s="39"/>
      <c r="F37" s="166"/>
      <c r="G37" s="187"/>
      <c r="H37" s="136"/>
      <c r="I37" s="206"/>
      <c r="J37" s="83"/>
      <c r="K37" s="84"/>
    </row>
    <row r="38" spans="2:11">
      <c r="B38" s="41" t="s">
        <v>18</v>
      </c>
      <c r="C38" s="14" t="str">
        <f>C24</f>
        <v>Centralized Management Platform (CMP)</v>
      </c>
      <c r="D38" s="24"/>
      <c r="E38" s="24"/>
      <c r="F38" s="167"/>
      <c r="G38" s="188"/>
      <c r="H38" s="137"/>
      <c r="I38" s="204"/>
      <c r="J38" s="120"/>
      <c r="K38" s="73"/>
    </row>
    <row r="39" spans="2:11">
      <c r="B39" s="111"/>
      <c r="C39" s="30" t="s">
        <v>72</v>
      </c>
      <c r="F39" s="167"/>
      <c r="G39" s="188"/>
      <c r="H39" s="137"/>
      <c r="I39" s="204"/>
      <c r="J39" s="120"/>
      <c r="K39" s="73"/>
    </row>
    <row r="40" spans="2:11">
      <c r="B40" s="111"/>
      <c r="C40" s="30"/>
      <c r="F40" s="167"/>
      <c r="G40" s="188"/>
      <c r="H40" s="137"/>
      <c r="I40" s="204"/>
      <c r="J40" s="120"/>
      <c r="K40" s="73"/>
    </row>
    <row r="41" spans="2:11">
      <c r="B41" s="41"/>
      <c r="C41" s="42" t="s">
        <v>177</v>
      </c>
      <c r="F41" s="30"/>
      <c r="G41" s="2"/>
      <c r="H41" s="30"/>
      <c r="I41" s="2"/>
      <c r="J41" s="30"/>
      <c r="K41" s="79"/>
    </row>
    <row r="42" spans="2:11">
      <c r="B42" s="41"/>
      <c r="C42" s="42"/>
      <c r="F42" s="30"/>
      <c r="G42" s="2"/>
      <c r="H42" s="30"/>
      <c r="I42" s="2"/>
      <c r="J42" s="30"/>
      <c r="K42" s="79"/>
    </row>
    <row r="43" spans="2:11">
      <c r="B43" s="25"/>
      <c r="C43" s="43"/>
      <c r="D43" s="2"/>
      <c r="E43" s="2"/>
      <c r="F43" s="163"/>
      <c r="G43" s="184"/>
      <c r="H43" s="133"/>
      <c r="I43" s="202"/>
      <c r="J43" s="115"/>
      <c r="K43" s="85"/>
    </row>
    <row r="44" spans="2:11">
      <c r="B44" s="25" t="s">
        <v>98</v>
      </c>
      <c r="C44" s="42" t="s">
        <v>99</v>
      </c>
      <c r="D44" s="2"/>
      <c r="E44" s="2"/>
      <c r="F44" s="104">
        <v>1</v>
      </c>
      <c r="G44" s="188" t="s">
        <v>79</v>
      </c>
      <c r="H44" s="137" t="s">
        <v>75</v>
      </c>
      <c r="I44" s="217">
        <v>20000</v>
      </c>
      <c r="J44" s="114" t="s">
        <v>75</v>
      </c>
      <c r="K44" s="218">
        <f>F44*I44</f>
        <v>20000</v>
      </c>
    </row>
    <row r="45" spans="2:11" ht="19" customHeight="1">
      <c r="B45" s="41"/>
      <c r="C45" s="43" t="s">
        <v>55</v>
      </c>
      <c r="D45" s="101"/>
      <c r="E45" s="27"/>
      <c r="F45" s="168"/>
      <c r="G45" s="189"/>
      <c r="H45" s="138"/>
      <c r="I45" s="207"/>
      <c r="J45" s="116"/>
      <c r="K45" s="73"/>
    </row>
    <row r="46" spans="2:11">
      <c r="B46" s="41"/>
      <c r="C46" s="43" t="s">
        <v>20</v>
      </c>
      <c r="E46" s="27"/>
      <c r="F46" s="168"/>
      <c r="G46" s="189"/>
      <c r="H46" s="138"/>
      <c r="I46" s="207"/>
      <c r="J46" s="116"/>
      <c r="K46" s="73"/>
    </row>
    <row r="47" spans="2:11">
      <c r="B47" s="41"/>
      <c r="C47" s="43" t="s">
        <v>21</v>
      </c>
      <c r="D47" s="102"/>
      <c r="E47" s="27"/>
      <c r="F47" s="168"/>
      <c r="G47" s="189"/>
      <c r="H47" s="138"/>
      <c r="I47" s="208"/>
      <c r="J47" s="150"/>
      <c r="K47" s="198"/>
    </row>
    <row r="48" spans="2:11">
      <c r="B48" s="25"/>
      <c r="C48" s="42"/>
      <c r="D48" s="2"/>
      <c r="E48" s="2"/>
      <c r="F48" s="104"/>
      <c r="G48" s="188"/>
      <c r="H48" s="137"/>
      <c r="I48" s="217"/>
      <c r="J48" s="225"/>
      <c r="K48" s="218"/>
    </row>
    <row r="49" spans="2:14">
      <c r="B49" s="25" t="s">
        <v>100</v>
      </c>
      <c r="C49" s="42" t="s">
        <v>76</v>
      </c>
      <c r="D49" s="2"/>
      <c r="E49" s="2"/>
      <c r="F49" s="104">
        <v>1</v>
      </c>
      <c r="G49" s="190" t="s">
        <v>58</v>
      </c>
      <c r="H49" s="42" t="s">
        <v>75</v>
      </c>
      <c r="I49" s="210">
        <v>20000</v>
      </c>
      <c r="J49" s="118" t="s">
        <v>75</v>
      </c>
      <c r="K49" s="73">
        <f>F49*I49</f>
        <v>20000</v>
      </c>
      <c r="M49" s="44"/>
      <c r="N49" s="45"/>
    </row>
    <row r="50" spans="2:14">
      <c r="B50" s="25"/>
      <c r="C50" s="43"/>
      <c r="D50" s="2"/>
      <c r="E50" s="2"/>
      <c r="F50" s="104"/>
      <c r="G50" s="190"/>
      <c r="H50" s="42"/>
      <c r="I50" s="210"/>
      <c r="J50" s="118"/>
      <c r="K50" s="73"/>
      <c r="M50" s="44"/>
      <c r="N50" s="45"/>
    </row>
    <row r="51" spans="2:14">
      <c r="B51" s="25" t="s">
        <v>101</v>
      </c>
      <c r="C51" s="42" t="s">
        <v>165</v>
      </c>
      <c r="D51" s="2"/>
      <c r="E51" s="2"/>
      <c r="F51" s="104">
        <v>39</v>
      </c>
      <c r="G51" s="190" t="s">
        <v>97</v>
      </c>
      <c r="H51" s="42" t="s">
        <v>75</v>
      </c>
      <c r="I51" s="210" t="s">
        <v>182</v>
      </c>
      <c r="J51" s="118" t="s">
        <v>75</v>
      </c>
      <c r="K51" s="73" t="s">
        <v>182</v>
      </c>
      <c r="M51" s="44"/>
      <c r="N51" s="45"/>
    </row>
    <row r="52" spans="2:14">
      <c r="B52" s="25"/>
      <c r="C52" s="28"/>
      <c r="D52" s="2"/>
      <c r="E52" s="2"/>
      <c r="F52" s="104"/>
      <c r="G52" s="190"/>
      <c r="H52" s="42"/>
      <c r="I52" s="210"/>
      <c r="J52" s="118"/>
      <c r="K52" s="73"/>
      <c r="M52" s="44"/>
      <c r="N52" s="45"/>
    </row>
    <row r="53" spans="2:14">
      <c r="B53" s="25" t="s">
        <v>166</v>
      </c>
      <c r="C53" s="28" t="s">
        <v>168</v>
      </c>
      <c r="D53" s="2"/>
      <c r="E53" s="2"/>
      <c r="F53" s="266" t="s">
        <v>53</v>
      </c>
      <c r="G53" s="267"/>
      <c r="H53" s="140" t="s">
        <v>75</v>
      </c>
      <c r="I53" s="209">
        <v>25000</v>
      </c>
      <c r="J53" s="121"/>
      <c r="K53" s="73" t="s">
        <v>80</v>
      </c>
      <c r="M53" s="44"/>
      <c r="N53" s="45"/>
    </row>
    <row r="54" spans="2:14">
      <c r="B54" s="25"/>
      <c r="C54" s="28" t="s">
        <v>184</v>
      </c>
      <c r="D54" s="2"/>
      <c r="E54" s="2"/>
      <c r="F54" s="266"/>
      <c r="G54" s="267"/>
      <c r="H54" s="140"/>
      <c r="I54" s="209"/>
      <c r="J54" s="121"/>
      <c r="K54" s="73"/>
      <c r="M54" s="44"/>
      <c r="N54" s="45"/>
    </row>
    <row r="55" spans="2:14">
      <c r="B55" s="25"/>
      <c r="C55" s="28"/>
      <c r="D55" s="2"/>
      <c r="E55" s="2"/>
      <c r="F55" s="67"/>
      <c r="G55" s="224"/>
      <c r="H55" s="140"/>
      <c r="I55" s="209"/>
      <c r="J55" s="121"/>
      <c r="K55" s="73"/>
      <c r="M55" s="44"/>
      <c r="N55" s="45"/>
    </row>
    <row r="56" spans="2:14">
      <c r="B56" s="25" t="s">
        <v>167</v>
      </c>
      <c r="C56" s="28" t="s">
        <v>173</v>
      </c>
      <c r="D56" s="2"/>
      <c r="E56" s="2"/>
      <c r="F56" s="266" t="s">
        <v>174</v>
      </c>
      <c r="G56" s="267"/>
      <c r="H56" s="140" t="s">
        <v>75</v>
      </c>
      <c r="I56" s="209">
        <v>1000</v>
      </c>
      <c r="J56" s="121"/>
      <c r="K56" s="73" t="s">
        <v>80</v>
      </c>
      <c r="M56" s="44"/>
      <c r="N56" s="45"/>
    </row>
    <row r="57" spans="2:14" ht="17" thickBot="1">
      <c r="B57" s="64"/>
      <c r="C57" s="103"/>
      <c r="D57" s="36"/>
      <c r="E57" s="36"/>
      <c r="F57" s="167"/>
      <c r="G57" s="244"/>
      <c r="H57" s="142"/>
      <c r="I57" s="211"/>
      <c r="J57" s="151"/>
      <c r="K57" s="82"/>
    </row>
    <row r="58" spans="2:14" ht="17" thickBot="1">
      <c r="B58" s="46"/>
      <c r="C58" s="38"/>
      <c r="D58" s="39"/>
      <c r="E58" s="39"/>
      <c r="F58" s="87"/>
      <c r="G58" s="192"/>
      <c r="H58" s="94"/>
      <c r="I58" s="87" t="s">
        <v>22</v>
      </c>
      <c r="J58" s="83" t="s">
        <v>75</v>
      </c>
      <c r="K58" s="84">
        <f>SUM(K41:K57)</f>
        <v>40000</v>
      </c>
      <c r="M58" s="52"/>
      <c r="N58" s="52"/>
    </row>
    <row r="59" spans="2:14" ht="21" thickBot="1">
      <c r="B59" s="37" t="s">
        <v>23</v>
      </c>
      <c r="C59" s="38"/>
      <c r="D59" s="39"/>
      <c r="E59" s="39"/>
      <c r="F59" s="171"/>
      <c r="G59" s="187"/>
      <c r="H59" s="136"/>
      <c r="I59" s="206"/>
      <c r="J59" s="94"/>
      <c r="K59" s="95"/>
    </row>
    <row r="60" spans="2:14" ht="15.75" customHeight="1">
      <c r="B60" s="40" t="s">
        <v>108</v>
      </c>
      <c r="C60" s="14" t="str">
        <f>C25</f>
        <v>Digitalized Tracking System</v>
      </c>
      <c r="D60" s="47"/>
      <c r="E60" s="47"/>
      <c r="F60" s="167"/>
      <c r="G60" s="188"/>
      <c r="H60" s="137"/>
      <c r="I60" s="204"/>
      <c r="J60" s="152"/>
      <c r="K60" s="71"/>
      <c r="M60" s="45"/>
      <c r="N60" s="45"/>
    </row>
    <row r="61" spans="2:14" ht="33.5" customHeight="1">
      <c r="B61" s="25"/>
      <c r="C61" s="268" t="s">
        <v>102</v>
      </c>
      <c r="D61" s="269"/>
      <c r="E61" s="270"/>
      <c r="F61" s="164"/>
      <c r="G61" s="185"/>
      <c r="H61" s="134"/>
      <c r="I61" s="202"/>
      <c r="J61" s="114"/>
      <c r="K61" s="79"/>
      <c r="M61" s="1"/>
      <c r="N61" s="1"/>
    </row>
    <row r="62" spans="2:14" ht="21" customHeight="1">
      <c r="B62" s="25"/>
      <c r="C62" s="271" t="s">
        <v>178</v>
      </c>
      <c r="D62" s="272"/>
      <c r="E62" s="273"/>
      <c r="F62" s="164"/>
      <c r="G62" s="185"/>
      <c r="H62" s="134"/>
      <c r="I62" s="202"/>
      <c r="J62" s="225"/>
      <c r="K62" s="79"/>
      <c r="M62" s="1"/>
      <c r="N62" s="1"/>
    </row>
    <row r="63" spans="2:14" ht="21" customHeight="1">
      <c r="B63" s="25"/>
      <c r="C63" s="226"/>
      <c r="D63" s="227"/>
      <c r="E63" s="228"/>
      <c r="F63" s="164"/>
      <c r="G63" s="185"/>
      <c r="H63" s="134"/>
      <c r="I63" s="202"/>
      <c r="J63" s="225"/>
      <c r="K63" s="79"/>
      <c r="M63" s="1"/>
      <c r="N63" s="1"/>
    </row>
    <row r="64" spans="2:14" ht="14.25" customHeight="1">
      <c r="B64" s="25"/>
      <c r="C64" s="268"/>
      <c r="D64" s="269"/>
      <c r="E64" s="270"/>
      <c r="F64" s="164"/>
      <c r="G64" s="185"/>
      <c r="H64" s="134"/>
      <c r="I64" s="202"/>
      <c r="J64" s="225"/>
      <c r="K64" s="79"/>
      <c r="M64" s="1"/>
      <c r="N64" s="1"/>
    </row>
    <row r="65" spans="2:14" ht="16.5" customHeight="1">
      <c r="B65" s="25" t="s">
        <v>109</v>
      </c>
      <c r="C65" s="277" t="s">
        <v>65</v>
      </c>
      <c r="D65" s="278"/>
      <c r="E65" s="279"/>
      <c r="F65" s="42">
        <v>1</v>
      </c>
      <c r="G65" s="51" t="s">
        <v>52</v>
      </c>
      <c r="H65" s="123" t="s">
        <v>75</v>
      </c>
      <c r="I65" s="119">
        <v>10000</v>
      </c>
      <c r="J65" s="123" t="s">
        <v>75</v>
      </c>
      <c r="K65" s="73">
        <f>F65*I65</f>
        <v>10000</v>
      </c>
      <c r="M65" s="45"/>
      <c r="N65" s="45"/>
    </row>
    <row r="66" spans="2:14" ht="16.5" customHeight="1">
      <c r="B66" s="25"/>
      <c r="C66" s="112" t="s">
        <v>103</v>
      </c>
      <c r="D66" s="229"/>
      <c r="E66" s="230"/>
      <c r="F66" s="169"/>
      <c r="G66" s="191"/>
      <c r="H66" s="141"/>
      <c r="I66" s="204"/>
      <c r="J66" s="124"/>
      <c r="K66" s="73"/>
      <c r="M66" s="45"/>
      <c r="N66" s="45"/>
    </row>
    <row r="67" spans="2:14" ht="16.5" customHeight="1">
      <c r="B67" s="25"/>
      <c r="C67" s="112" t="s">
        <v>104</v>
      </c>
      <c r="D67" s="229"/>
      <c r="E67" s="229"/>
      <c r="F67" s="42"/>
      <c r="G67" s="51"/>
      <c r="H67" s="123"/>
      <c r="I67" s="122"/>
      <c r="J67" s="123"/>
      <c r="K67" s="73"/>
      <c r="M67" s="45"/>
      <c r="N67" s="45"/>
    </row>
    <row r="68" spans="2:14">
      <c r="B68" s="25"/>
      <c r="C68" s="112" t="s">
        <v>105</v>
      </c>
      <c r="D68" s="229"/>
      <c r="E68" s="229"/>
      <c r="F68" s="162"/>
      <c r="G68" s="183"/>
      <c r="H68" s="132"/>
      <c r="I68" s="212"/>
      <c r="J68" s="153"/>
      <c r="K68" s="88"/>
      <c r="M68" s="1"/>
      <c r="N68" s="1"/>
    </row>
    <row r="69" spans="2:14">
      <c r="B69" s="25"/>
      <c r="C69" s="112" t="s">
        <v>106</v>
      </c>
      <c r="D69" s="229"/>
      <c r="E69" s="229"/>
      <c r="F69" s="162"/>
      <c r="G69" s="183"/>
      <c r="H69" s="132"/>
      <c r="I69" s="212"/>
      <c r="J69" s="154"/>
      <c r="K69" s="88"/>
      <c r="M69" s="1"/>
      <c r="N69" s="1"/>
    </row>
    <row r="70" spans="2:14">
      <c r="B70" s="25"/>
      <c r="C70" s="43" t="s">
        <v>107</v>
      </c>
      <c r="D70" s="27"/>
      <c r="E70" s="27"/>
      <c r="F70" s="162"/>
      <c r="G70" s="183"/>
      <c r="H70" s="132"/>
      <c r="I70" s="212"/>
      <c r="J70" s="154"/>
      <c r="K70" s="88"/>
      <c r="M70" s="1"/>
      <c r="N70" s="1"/>
    </row>
    <row r="71" spans="2:14" ht="16.5" customHeight="1">
      <c r="B71" s="25"/>
      <c r="C71" s="49"/>
      <c r="D71" s="50"/>
      <c r="E71" s="50"/>
      <c r="F71" s="67"/>
      <c r="G71" s="224"/>
      <c r="H71" s="139"/>
      <c r="I71" s="213"/>
      <c r="J71" s="124"/>
      <c r="K71" s="73"/>
      <c r="M71" s="45"/>
      <c r="N71" s="45"/>
    </row>
    <row r="72" spans="2:14" ht="16.5" customHeight="1">
      <c r="B72" s="25" t="s">
        <v>110</v>
      </c>
      <c r="C72" s="49" t="s">
        <v>169</v>
      </c>
      <c r="D72" s="50"/>
      <c r="E72" s="50"/>
      <c r="F72" s="42">
        <v>1</v>
      </c>
      <c r="G72" s="51" t="s">
        <v>56</v>
      </c>
      <c r="H72" s="139" t="s">
        <v>111</v>
      </c>
      <c r="I72" s="213">
        <v>10000</v>
      </c>
      <c r="J72" s="124"/>
      <c r="K72" s="73" t="s">
        <v>80</v>
      </c>
      <c r="M72" s="45"/>
      <c r="N72" s="45"/>
    </row>
    <row r="73" spans="2:14" ht="16.5" customHeight="1" thickBot="1">
      <c r="B73" s="25"/>
      <c r="C73" s="49"/>
      <c r="D73" s="50"/>
      <c r="E73" s="50"/>
      <c r="F73" s="67"/>
      <c r="G73" s="224"/>
      <c r="H73" s="139"/>
      <c r="I73" s="213"/>
      <c r="J73" s="124"/>
      <c r="K73" s="73"/>
      <c r="M73" s="45"/>
      <c r="N73" s="45"/>
    </row>
    <row r="74" spans="2:14" ht="17" thickBot="1">
      <c r="B74" s="46"/>
      <c r="C74" s="38"/>
      <c r="D74" s="39"/>
      <c r="E74" s="39"/>
      <c r="F74" s="87"/>
      <c r="G74" s="192"/>
      <c r="H74" s="83"/>
      <c r="I74" s="83" t="s">
        <v>22</v>
      </c>
      <c r="J74" s="83" t="s">
        <v>75</v>
      </c>
      <c r="K74" s="84">
        <f>SUM(K65:K73)</f>
        <v>10000</v>
      </c>
    </row>
    <row r="75" spans="2:14" ht="15.75" customHeight="1">
      <c r="B75" s="40" t="s">
        <v>112</v>
      </c>
      <c r="C75" s="14" t="str">
        <f>C26</f>
        <v>Digitalized permit-to-work system (ePTW)</v>
      </c>
      <c r="D75" s="47"/>
      <c r="E75" s="47"/>
      <c r="F75" s="167"/>
      <c r="G75" s="188"/>
      <c r="H75" s="137"/>
      <c r="I75" s="204"/>
      <c r="J75" s="152"/>
      <c r="K75" s="71"/>
      <c r="M75" s="45"/>
      <c r="N75" s="45"/>
    </row>
    <row r="76" spans="2:14" ht="33.5" customHeight="1">
      <c r="B76" s="25"/>
      <c r="C76" s="268" t="s">
        <v>73</v>
      </c>
      <c r="D76" s="269"/>
      <c r="E76" s="270"/>
      <c r="F76" s="164"/>
      <c r="G76" s="185"/>
      <c r="H76" s="134"/>
      <c r="I76" s="202"/>
      <c r="J76" s="114"/>
      <c r="K76" s="79"/>
      <c r="M76" s="1"/>
      <c r="N76" s="1"/>
    </row>
    <row r="77" spans="2:14" ht="18" customHeight="1">
      <c r="B77" s="25"/>
      <c r="C77" s="271" t="s">
        <v>179</v>
      </c>
      <c r="D77" s="272"/>
      <c r="E77" s="273"/>
      <c r="F77" s="164"/>
      <c r="G77" s="185"/>
      <c r="H77" s="134"/>
      <c r="I77" s="202"/>
      <c r="J77" s="225"/>
      <c r="K77" s="79"/>
      <c r="M77" s="1"/>
      <c r="N77" s="1"/>
    </row>
    <row r="78" spans="2:14" ht="12.75" customHeight="1">
      <c r="B78" s="25"/>
      <c r="C78" s="226"/>
      <c r="D78" s="227"/>
      <c r="E78" s="228"/>
      <c r="F78" s="164"/>
      <c r="G78" s="185"/>
      <c r="H78" s="134"/>
      <c r="I78" s="202"/>
      <c r="J78" s="225"/>
      <c r="K78" s="79"/>
      <c r="M78" s="1"/>
      <c r="N78" s="1"/>
    </row>
    <row r="79" spans="2:14" ht="12.75" customHeight="1">
      <c r="B79" s="25"/>
      <c r="C79" s="220"/>
      <c r="D79" s="221"/>
      <c r="E79" s="222"/>
      <c r="F79" s="164"/>
      <c r="G79" s="185"/>
      <c r="H79" s="134"/>
      <c r="I79" s="202"/>
      <c r="J79" s="225"/>
      <c r="K79" s="79"/>
      <c r="M79" s="1"/>
      <c r="N79" s="1"/>
    </row>
    <row r="80" spans="2:14" ht="16.5" customHeight="1">
      <c r="B80" s="25" t="s">
        <v>114</v>
      </c>
      <c r="C80" s="49" t="s">
        <v>65</v>
      </c>
      <c r="D80" s="50"/>
      <c r="E80" s="66"/>
      <c r="F80" s="42">
        <v>1</v>
      </c>
      <c r="G80" s="51" t="s">
        <v>52</v>
      </c>
      <c r="H80" s="123" t="s">
        <v>75</v>
      </c>
      <c r="I80" s="119">
        <v>12000</v>
      </c>
      <c r="J80" s="123" t="s">
        <v>75</v>
      </c>
      <c r="K80" s="73">
        <f>F80*I80</f>
        <v>12000</v>
      </c>
      <c r="M80" s="45"/>
      <c r="N80" s="45"/>
    </row>
    <row r="81" spans="2:14" ht="16.5" customHeight="1">
      <c r="B81" s="25"/>
      <c r="C81" s="48" t="s">
        <v>82</v>
      </c>
      <c r="D81" s="50"/>
      <c r="E81" s="66"/>
      <c r="F81" s="42"/>
      <c r="G81" s="51"/>
      <c r="H81" s="123"/>
      <c r="I81" s="122"/>
      <c r="J81" s="123"/>
      <c r="K81" s="73"/>
      <c r="M81" s="45"/>
      <c r="N81" s="45"/>
    </row>
    <row r="82" spans="2:14">
      <c r="B82" s="25"/>
      <c r="C82" s="43" t="s">
        <v>59</v>
      </c>
      <c r="D82" s="27"/>
      <c r="E82" s="27"/>
      <c r="F82" s="162"/>
      <c r="G82" s="183"/>
      <c r="H82" s="132"/>
      <c r="I82" s="212"/>
      <c r="J82" s="153"/>
      <c r="K82" s="88"/>
      <c r="M82" s="1"/>
      <c r="N82" s="1"/>
    </row>
    <row r="83" spans="2:14">
      <c r="B83" s="25"/>
      <c r="C83" s="43" t="s">
        <v>60</v>
      </c>
      <c r="D83" s="27"/>
      <c r="E83" s="27"/>
      <c r="F83" s="162"/>
      <c r="G83" s="183"/>
      <c r="H83" s="132"/>
      <c r="I83" s="212"/>
      <c r="J83" s="154"/>
      <c r="K83" s="88"/>
      <c r="M83" s="1"/>
      <c r="N83" s="1"/>
    </row>
    <row r="84" spans="2:14">
      <c r="B84" s="25"/>
      <c r="C84" s="43" t="s">
        <v>61</v>
      </c>
      <c r="D84" s="27"/>
      <c r="E84" s="27"/>
      <c r="F84" s="162"/>
      <c r="G84" s="183"/>
      <c r="H84" s="132"/>
      <c r="I84" s="212"/>
      <c r="J84" s="154"/>
      <c r="K84" s="88"/>
      <c r="M84" s="1"/>
      <c r="N84" s="1"/>
    </row>
    <row r="85" spans="2:14" ht="15.5" customHeight="1">
      <c r="B85" s="25"/>
      <c r="C85" s="43" t="s">
        <v>62</v>
      </c>
      <c r="D85" s="43"/>
      <c r="E85" s="43"/>
      <c r="F85" s="162"/>
      <c r="G85" s="183"/>
      <c r="H85" s="132"/>
      <c r="I85" s="212"/>
      <c r="J85" s="154"/>
      <c r="K85" s="88"/>
      <c r="M85" s="1"/>
      <c r="N85" s="1"/>
    </row>
    <row r="86" spans="2:14">
      <c r="B86" s="25"/>
      <c r="C86" s="43" t="s">
        <v>63</v>
      </c>
      <c r="D86" s="27"/>
      <c r="E86" s="27"/>
      <c r="F86" s="162"/>
      <c r="G86" s="183"/>
      <c r="H86" s="132"/>
      <c r="I86" s="212"/>
      <c r="J86" s="154"/>
      <c r="K86" s="88"/>
      <c r="M86" s="1"/>
      <c r="N86" s="1"/>
    </row>
    <row r="87" spans="2:14" ht="16.5" customHeight="1">
      <c r="B87" s="25"/>
      <c r="C87" s="43" t="s">
        <v>64</v>
      </c>
      <c r="D87" s="43"/>
      <c r="E87" s="43"/>
      <c r="F87" s="162"/>
      <c r="G87" s="183"/>
      <c r="H87" s="132"/>
      <c r="I87" s="212"/>
      <c r="J87" s="154"/>
      <c r="K87" s="88"/>
      <c r="M87" s="1"/>
      <c r="N87" s="1"/>
    </row>
    <row r="88" spans="2:14" ht="21.5" customHeight="1">
      <c r="B88" s="25"/>
      <c r="C88" s="43" t="s">
        <v>77</v>
      </c>
      <c r="D88" s="43"/>
      <c r="E88" s="43"/>
      <c r="F88" s="162"/>
      <c r="G88" s="183"/>
      <c r="H88" s="132"/>
      <c r="I88" s="212"/>
      <c r="J88" s="154"/>
      <c r="K88" s="88"/>
      <c r="M88" s="1"/>
      <c r="N88" s="1"/>
    </row>
    <row r="89" spans="2:14" ht="17.25" customHeight="1">
      <c r="B89" s="25"/>
      <c r="C89" s="43"/>
      <c r="D89" s="27"/>
      <c r="E89" s="27"/>
      <c r="F89" s="162"/>
      <c r="G89" s="183"/>
      <c r="H89" s="132"/>
      <c r="I89" s="212"/>
      <c r="J89" s="154"/>
      <c r="K89" s="88"/>
      <c r="M89" s="1"/>
      <c r="N89" s="1"/>
    </row>
    <row r="90" spans="2:14" ht="17">
      <c r="B90" s="25" t="s">
        <v>115</v>
      </c>
      <c r="C90" s="49" t="s">
        <v>170</v>
      </c>
      <c r="D90" s="27"/>
      <c r="E90" s="27"/>
      <c r="F90" s="42">
        <v>1</v>
      </c>
      <c r="G90" s="51" t="s">
        <v>116</v>
      </c>
      <c r="H90" s="123" t="s">
        <v>75</v>
      </c>
      <c r="I90" s="122">
        <v>5000</v>
      </c>
      <c r="J90" s="123"/>
      <c r="K90" s="73" t="s">
        <v>117</v>
      </c>
      <c r="M90" s="1"/>
      <c r="N90" s="1"/>
    </row>
    <row r="91" spans="2:14" ht="15.75" customHeight="1">
      <c r="B91" s="25"/>
      <c r="C91" s="43"/>
      <c r="D91" s="27"/>
      <c r="E91" s="27"/>
      <c r="F91" s="162"/>
      <c r="G91" s="183"/>
      <c r="H91" s="132"/>
      <c r="I91" s="212"/>
      <c r="J91" s="154"/>
      <c r="K91" s="88"/>
      <c r="M91" s="1"/>
      <c r="N91" s="1"/>
    </row>
    <row r="92" spans="2:14" ht="17" thickBot="1">
      <c r="B92" s="25"/>
      <c r="C92" s="48"/>
      <c r="D92" s="8"/>
      <c r="E92" s="8"/>
      <c r="F92" s="172"/>
      <c r="G92" s="193"/>
      <c r="H92" s="143"/>
      <c r="I92" s="214"/>
      <c r="J92" s="155"/>
      <c r="K92" s="82"/>
      <c r="M92" s="1"/>
      <c r="N92" s="1"/>
    </row>
    <row r="93" spans="2:14" ht="17" thickBot="1">
      <c r="B93" s="46"/>
      <c r="C93" s="38"/>
      <c r="D93" s="39"/>
      <c r="E93" s="39"/>
      <c r="F93" s="87"/>
      <c r="G93" s="192"/>
      <c r="H93" s="83"/>
      <c r="I93" s="83" t="s">
        <v>22</v>
      </c>
      <c r="J93" s="83" t="s">
        <v>75</v>
      </c>
      <c r="K93" s="84">
        <f>SUM(K80:K92)</f>
        <v>12000</v>
      </c>
    </row>
    <row r="94" spans="2:14" ht="15.75" customHeight="1">
      <c r="B94" s="40" t="s">
        <v>83</v>
      </c>
      <c r="C94" s="14" t="str">
        <f>C27</f>
        <v>Electronic lock and key system (E-Lock)</v>
      </c>
      <c r="D94" s="47"/>
      <c r="E94" s="47"/>
      <c r="F94" s="167"/>
      <c r="G94" s="188"/>
      <c r="H94" s="137"/>
      <c r="I94" s="204"/>
      <c r="J94" s="152"/>
      <c r="K94" s="71"/>
      <c r="M94" s="45"/>
      <c r="N94" s="45"/>
    </row>
    <row r="95" spans="2:14" ht="25.5" customHeight="1">
      <c r="B95" s="41"/>
      <c r="C95" s="268" t="s">
        <v>160</v>
      </c>
      <c r="D95" s="269"/>
      <c r="E95" s="270"/>
      <c r="F95" s="167"/>
      <c r="G95" s="188"/>
      <c r="H95" s="137"/>
      <c r="I95" s="204"/>
      <c r="J95" s="120"/>
      <c r="K95" s="73"/>
      <c r="M95" s="45"/>
      <c r="N95" s="45"/>
    </row>
    <row r="96" spans="2:14" ht="15" customHeight="1">
      <c r="B96" s="41"/>
      <c r="C96" s="271" t="s">
        <v>180</v>
      </c>
      <c r="D96" s="272"/>
      <c r="E96" s="273"/>
      <c r="F96" s="167"/>
      <c r="G96" s="188"/>
      <c r="H96" s="137"/>
      <c r="I96" s="204"/>
      <c r="J96" s="120"/>
      <c r="K96" s="73"/>
      <c r="M96" s="45"/>
      <c r="N96" s="45"/>
    </row>
    <row r="97" spans="2:14" ht="15" customHeight="1">
      <c r="B97" s="41"/>
      <c r="C97" s="226"/>
      <c r="D97" s="227"/>
      <c r="E97" s="227"/>
      <c r="F97" s="167"/>
      <c r="G97" s="188"/>
      <c r="H97" s="137"/>
      <c r="I97" s="204"/>
      <c r="J97" s="120"/>
      <c r="K97" s="73"/>
      <c r="M97" s="45"/>
      <c r="N97" s="45"/>
    </row>
    <row r="98" spans="2:14" ht="15" customHeight="1">
      <c r="B98" s="41"/>
      <c r="C98" s="226"/>
      <c r="D98" s="227"/>
      <c r="E98" s="227"/>
      <c r="F98" s="167"/>
      <c r="G98" s="188"/>
      <c r="H98" s="137"/>
      <c r="I98" s="204"/>
      <c r="J98" s="120"/>
      <c r="K98" s="73"/>
      <c r="M98" s="45"/>
      <c r="N98" s="45"/>
    </row>
    <row r="99" spans="2:14">
      <c r="B99" s="25" t="s">
        <v>119</v>
      </c>
      <c r="C99" s="277" t="s">
        <v>65</v>
      </c>
      <c r="D99" s="278"/>
      <c r="E99" s="279"/>
      <c r="F99" s="42">
        <v>1</v>
      </c>
      <c r="G99" s="51" t="s">
        <v>58</v>
      </c>
      <c r="H99" s="67" t="s">
        <v>75</v>
      </c>
      <c r="I99" s="119" t="s">
        <v>183</v>
      </c>
      <c r="J99" s="67" t="s">
        <v>75</v>
      </c>
      <c r="K99" s="73" t="s">
        <v>182</v>
      </c>
      <c r="M99" s="1"/>
      <c r="N99" s="1"/>
    </row>
    <row r="100" spans="2:14" ht="16.5" customHeight="1">
      <c r="B100" s="25"/>
      <c r="C100" s="49"/>
      <c r="D100" s="50"/>
      <c r="E100" s="66"/>
      <c r="F100" s="170"/>
      <c r="G100" s="191"/>
      <c r="H100" s="141"/>
      <c r="I100" s="204"/>
      <c r="J100" s="124"/>
      <c r="K100" s="73"/>
      <c r="M100" s="45"/>
      <c r="N100" s="45"/>
    </row>
    <row r="101" spans="2:14" ht="16.5" customHeight="1">
      <c r="B101" s="25" t="s">
        <v>120</v>
      </c>
      <c r="C101" s="277" t="s">
        <v>118</v>
      </c>
      <c r="D101" s="278"/>
      <c r="E101" s="279"/>
      <c r="F101" s="42">
        <v>1</v>
      </c>
      <c r="G101" s="51" t="s">
        <v>24</v>
      </c>
      <c r="H101" s="123" t="s">
        <v>75</v>
      </c>
      <c r="I101" s="122">
        <v>1500</v>
      </c>
      <c r="J101" s="67" t="s">
        <v>75</v>
      </c>
      <c r="K101" s="73">
        <f>F101*I101</f>
        <v>1500</v>
      </c>
      <c r="M101" s="45"/>
      <c r="N101" s="45"/>
    </row>
    <row r="102" spans="2:14" ht="15.75" customHeight="1">
      <c r="B102" s="25"/>
      <c r="C102" s="43" t="s">
        <v>66</v>
      </c>
      <c r="D102" s="2"/>
      <c r="F102" s="42"/>
      <c r="G102" s="51"/>
      <c r="H102" s="123"/>
      <c r="I102" s="122"/>
      <c r="J102" s="67"/>
      <c r="K102" s="73"/>
      <c r="M102" s="1"/>
      <c r="N102" s="1"/>
    </row>
    <row r="103" spans="2:14" ht="15.5" customHeight="1">
      <c r="B103" s="25"/>
      <c r="C103" s="280" t="s">
        <v>67</v>
      </c>
      <c r="D103" s="281"/>
      <c r="E103" s="282"/>
      <c r="F103" s="170"/>
      <c r="G103" s="191"/>
      <c r="H103" s="141"/>
      <c r="I103" s="204"/>
      <c r="J103" s="124"/>
      <c r="K103" s="73"/>
      <c r="M103" s="1"/>
      <c r="N103" s="1"/>
    </row>
    <row r="104" spans="2:14" ht="15.5" customHeight="1">
      <c r="B104" s="25"/>
      <c r="C104" s="110" t="s">
        <v>68</v>
      </c>
      <c r="D104" s="2"/>
      <c r="F104" s="170"/>
      <c r="G104" s="191"/>
      <c r="H104" s="141"/>
      <c r="I104" s="204"/>
      <c r="J104" s="124"/>
      <c r="K104" s="73"/>
      <c r="M104" s="1"/>
      <c r="N104" s="1"/>
    </row>
    <row r="105" spans="2:14" ht="15.5" customHeight="1">
      <c r="B105" s="25"/>
      <c r="C105" s="110" t="s">
        <v>69</v>
      </c>
      <c r="D105" s="2"/>
      <c r="F105" s="170"/>
      <c r="G105" s="191"/>
      <c r="H105" s="141"/>
      <c r="I105" s="204"/>
      <c r="J105" s="124"/>
      <c r="K105" s="73"/>
      <c r="M105" s="1"/>
      <c r="N105" s="1"/>
    </row>
    <row r="106" spans="2:14" ht="15.5" customHeight="1">
      <c r="B106" s="25"/>
      <c r="C106" s="110" t="s">
        <v>70</v>
      </c>
      <c r="D106" s="27"/>
      <c r="F106" s="170"/>
      <c r="G106" s="191"/>
      <c r="H106" s="141"/>
      <c r="I106" s="204"/>
      <c r="J106" s="124"/>
      <c r="K106" s="73"/>
      <c r="M106" s="1"/>
      <c r="N106" s="1"/>
    </row>
    <row r="107" spans="2:14" ht="15.5" customHeight="1">
      <c r="B107" s="25"/>
      <c r="C107" s="110" t="s">
        <v>71</v>
      </c>
      <c r="D107" s="27"/>
      <c r="F107" s="170"/>
      <c r="G107" s="191"/>
      <c r="H107" s="141"/>
      <c r="I107" s="204"/>
      <c r="J107" s="124"/>
      <c r="K107" s="73"/>
      <c r="M107" s="1"/>
      <c r="N107" s="1"/>
    </row>
    <row r="108" spans="2:14" ht="15.5" customHeight="1">
      <c r="B108" s="25"/>
      <c r="C108" s="112"/>
      <c r="D108" s="27"/>
      <c r="E108" s="27"/>
      <c r="F108" s="162"/>
      <c r="G108" s="183"/>
      <c r="H108" s="132"/>
      <c r="I108" s="212"/>
      <c r="J108" s="154"/>
      <c r="K108" s="88"/>
      <c r="M108" s="1"/>
      <c r="N108" s="1"/>
    </row>
    <row r="109" spans="2:14" ht="15.5" customHeight="1">
      <c r="B109" s="25" t="s">
        <v>233</v>
      </c>
      <c r="C109" s="49" t="s">
        <v>121</v>
      </c>
      <c r="D109" s="27"/>
      <c r="E109" s="27"/>
      <c r="F109" s="42">
        <v>1</v>
      </c>
      <c r="G109" s="51" t="s">
        <v>128</v>
      </c>
      <c r="H109" s="123" t="s">
        <v>75</v>
      </c>
      <c r="I109" s="122"/>
      <c r="J109" s="153"/>
      <c r="K109" s="73" t="s">
        <v>117</v>
      </c>
      <c r="M109" s="1"/>
      <c r="N109" s="1"/>
    </row>
    <row r="110" spans="2:14" ht="15.5" customHeight="1">
      <c r="B110" s="231" t="s">
        <v>124</v>
      </c>
      <c r="C110" s="49" t="s">
        <v>122</v>
      </c>
      <c r="D110" s="27"/>
      <c r="E110" s="27"/>
      <c r="F110" s="42">
        <v>1</v>
      </c>
      <c r="G110" s="51" t="s">
        <v>24</v>
      </c>
      <c r="H110" s="132"/>
      <c r="I110" s="212"/>
      <c r="J110" s="154"/>
      <c r="K110" s="88"/>
      <c r="M110" s="1"/>
      <c r="N110" s="1"/>
    </row>
    <row r="111" spans="2:14" ht="15.5" customHeight="1">
      <c r="B111" s="231" t="s">
        <v>125</v>
      </c>
      <c r="C111" s="49" t="s">
        <v>123</v>
      </c>
      <c r="D111" s="27"/>
      <c r="E111" s="27"/>
      <c r="F111" s="42">
        <v>1</v>
      </c>
      <c r="G111" s="51" t="s">
        <v>24</v>
      </c>
      <c r="H111" s="132"/>
      <c r="I111" s="212"/>
      <c r="J111" s="154"/>
      <c r="K111" s="88"/>
      <c r="M111" s="1"/>
      <c r="N111" s="1"/>
    </row>
    <row r="112" spans="2:14" ht="15.5" customHeight="1">
      <c r="B112" s="231" t="s">
        <v>126</v>
      </c>
      <c r="C112" s="49" t="s">
        <v>129</v>
      </c>
      <c r="D112" s="27"/>
      <c r="E112" s="27"/>
      <c r="F112" s="42">
        <v>1</v>
      </c>
      <c r="G112" s="51" t="s">
        <v>161</v>
      </c>
      <c r="H112" s="132"/>
      <c r="I112" s="212"/>
      <c r="J112" s="154"/>
      <c r="K112" s="88"/>
      <c r="M112" s="1"/>
      <c r="N112" s="1"/>
    </row>
    <row r="113" spans="2:14" ht="16.5" customHeight="1">
      <c r="B113" s="25"/>
      <c r="C113" s="43" t="s">
        <v>127</v>
      </c>
      <c r="D113" s="43"/>
      <c r="E113" s="27"/>
      <c r="F113" s="266"/>
      <c r="G113" s="283"/>
      <c r="H113" s="139"/>
      <c r="I113" s="213"/>
      <c r="J113" s="121"/>
      <c r="K113" s="73"/>
      <c r="M113" s="45"/>
      <c r="N113" s="45"/>
    </row>
    <row r="114" spans="2:14" ht="17" thickBot="1">
      <c r="B114" s="25"/>
      <c r="C114" s="48"/>
      <c r="D114" s="8"/>
      <c r="E114" s="8"/>
      <c r="F114" s="172"/>
      <c r="G114" s="193"/>
      <c r="H114" s="143"/>
      <c r="I114" s="214"/>
      <c r="J114" s="155"/>
      <c r="K114" s="82"/>
      <c r="M114" s="1"/>
      <c r="N114" s="1"/>
    </row>
    <row r="115" spans="2:14" ht="17" thickBot="1">
      <c r="B115" s="46"/>
      <c r="C115" s="38"/>
      <c r="D115" s="39"/>
      <c r="E115" s="39"/>
      <c r="F115" s="87"/>
      <c r="G115" s="192"/>
      <c r="H115" s="83"/>
      <c r="I115" s="83" t="s">
        <v>22</v>
      </c>
      <c r="J115" s="94" t="s">
        <v>75</v>
      </c>
      <c r="K115" s="95">
        <f>SUM(K99:K114)</f>
        <v>1500</v>
      </c>
    </row>
    <row r="116" spans="2:14" ht="15.75" customHeight="1">
      <c r="B116" s="40" t="s">
        <v>84</v>
      </c>
      <c r="C116" s="14" t="str">
        <f>C28</f>
        <v>Unsafe Acts / Dangerous situation alert - Mobile plant</v>
      </c>
      <c r="D116" s="47"/>
      <c r="E116" s="47"/>
      <c r="F116" s="167"/>
      <c r="G116" s="188"/>
      <c r="H116" s="137"/>
      <c r="I116" s="204"/>
      <c r="J116" s="152"/>
      <c r="K116" s="71"/>
      <c r="M116" s="45"/>
      <c r="N116" s="45"/>
    </row>
    <row r="117" spans="2:14" ht="30" customHeight="1">
      <c r="B117" s="41"/>
      <c r="C117" s="268" t="s">
        <v>137</v>
      </c>
      <c r="D117" s="269"/>
      <c r="E117" s="270"/>
      <c r="F117" s="167"/>
      <c r="G117" s="188"/>
      <c r="H117" s="137"/>
      <c r="I117" s="204"/>
      <c r="J117" s="120"/>
      <c r="K117" s="73"/>
      <c r="M117" s="45"/>
      <c r="N117" s="45"/>
    </row>
    <row r="118" spans="2:14" ht="15.75" customHeight="1">
      <c r="B118" s="41"/>
      <c r="C118" s="220"/>
      <c r="D118" s="221"/>
      <c r="E118" s="222"/>
      <c r="F118" s="167"/>
      <c r="G118" s="188"/>
      <c r="H118" s="137"/>
      <c r="I118" s="204"/>
      <c r="J118" s="219"/>
      <c r="K118" s="73"/>
      <c r="M118" s="45"/>
      <c r="N118" s="45"/>
    </row>
    <row r="119" spans="2:14" ht="14.25" customHeight="1">
      <c r="B119" s="25" t="s">
        <v>134</v>
      </c>
      <c r="C119" s="274" t="s">
        <v>65</v>
      </c>
      <c r="D119" s="275"/>
      <c r="E119" s="276"/>
      <c r="F119" s="42">
        <v>1</v>
      </c>
      <c r="G119" s="51" t="s">
        <v>58</v>
      </c>
      <c r="H119" s="67" t="s">
        <v>75</v>
      </c>
      <c r="I119" s="119">
        <v>10000</v>
      </c>
      <c r="J119" s="67" t="s">
        <v>75</v>
      </c>
      <c r="K119" s="73">
        <f>F119*I119</f>
        <v>10000</v>
      </c>
      <c r="M119" s="45"/>
      <c r="N119" s="45"/>
    </row>
    <row r="120" spans="2:14" ht="12" customHeight="1">
      <c r="B120" s="41"/>
      <c r="C120" s="49"/>
      <c r="D120" s="50"/>
      <c r="E120" s="66"/>
      <c r="F120" s="167"/>
      <c r="G120" s="188"/>
      <c r="H120" s="137"/>
      <c r="I120" s="204"/>
      <c r="J120" s="219"/>
      <c r="K120" s="73"/>
      <c r="M120" s="45"/>
      <c r="N120" s="45"/>
    </row>
    <row r="121" spans="2:14" ht="12" customHeight="1">
      <c r="B121" s="25" t="s">
        <v>135</v>
      </c>
      <c r="C121" s="274" t="s">
        <v>175</v>
      </c>
      <c r="D121" s="275"/>
      <c r="E121" s="276"/>
      <c r="F121" s="42">
        <v>1</v>
      </c>
      <c r="G121" s="51" t="s">
        <v>97</v>
      </c>
      <c r="H121" s="67" t="s">
        <v>75</v>
      </c>
      <c r="I121" s="119">
        <v>2000</v>
      </c>
      <c r="J121" s="67" t="s">
        <v>75</v>
      </c>
      <c r="K121" s="73">
        <f>F121*I121</f>
        <v>2000</v>
      </c>
      <c r="M121" s="45"/>
      <c r="N121" s="45"/>
    </row>
    <row r="122" spans="2:14" ht="12" customHeight="1">
      <c r="B122" s="41"/>
      <c r="C122" s="43"/>
      <c r="D122" s="27"/>
      <c r="E122" s="27"/>
      <c r="F122" s="167"/>
      <c r="G122" s="188"/>
      <c r="H122" s="137"/>
      <c r="I122" s="204"/>
      <c r="J122" s="219"/>
      <c r="K122" s="73"/>
      <c r="M122" s="45"/>
      <c r="N122" s="45"/>
    </row>
    <row r="123" spans="2:14" ht="12" customHeight="1">
      <c r="B123" s="25" t="s">
        <v>136</v>
      </c>
      <c r="C123" s="42" t="s">
        <v>163</v>
      </c>
      <c r="F123" s="42">
        <v>1</v>
      </c>
      <c r="G123" s="51" t="s">
        <v>24</v>
      </c>
      <c r="H123" s="67" t="s">
        <v>75</v>
      </c>
      <c r="I123" s="119">
        <v>12000</v>
      </c>
      <c r="J123" s="67" t="s">
        <v>75</v>
      </c>
      <c r="K123" s="73">
        <f>F123*I123</f>
        <v>12000</v>
      </c>
      <c r="M123" s="45"/>
      <c r="N123" s="45"/>
    </row>
    <row r="124" spans="2:14" ht="12" customHeight="1">
      <c r="B124" s="41"/>
      <c r="C124" s="43" t="s">
        <v>130</v>
      </c>
      <c r="D124" s="2"/>
      <c r="F124" s="167"/>
      <c r="G124" s="188"/>
      <c r="H124" s="137"/>
      <c r="I124" s="204"/>
      <c r="J124" s="219"/>
      <c r="K124" s="73"/>
      <c r="M124" s="45"/>
      <c r="N124" s="45"/>
    </row>
    <row r="125" spans="2:14" ht="12" customHeight="1">
      <c r="B125" s="41"/>
      <c r="C125" s="43" t="s">
        <v>131</v>
      </c>
      <c r="D125" s="2"/>
      <c r="F125" s="167"/>
      <c r="G125" s="188"/>
      <c r="H125" s="137"/>
      <c r="I125" s="204"/>
      <c r="J125" s="219"/>
      <c r="K125" s="73"/>
      <c r="M125" s="45"/>
      <c r="N125" s="45"/>
    </row>
    <row r="126" spans="2:14" ht="12" customHeight="1">
      <c r="B126" s="41"/>
      <c r="C126" s="43" t="s">
        <v>132</v>
      </c>
      <c r="D126" s="2"/>
      <c r="F126" s="167"/>
      <c r="G126" s="188"/>
      <c r="H126" s="137"/>
      <c r="I126" s="204"/>
      <c r="J126" s="219"/>
      <c r="K126" s="73"/>
      <c r="M126" s="45"/>
      <c r="N126" s="45"/>
    </row>
    <row r="127" spans="2:14" ht="12" customHeight="1">
      <c r="B127" s="41"/>
      <c r="C127" s="43" t="s">
        <v>164</v>
      </c>
      <c r="D127" s="2"/>
      <c r="F127" s="167"/>
      <c r="G127" s="188"/>
      <c r="H127" s="137"/>
      <c r="I127" s="204"/>
      <c r="J127" s="219"/>
      <c r="K127" s="73"/>
      <c r="M127" s="45"/>
      <c r="N127" s="45"/>
    </row>
    <row r="128" spans="2:14" ht="12" customHeight="1">
      <c r="B128" s="41"/>
      <c r="C128" s="43" t="s">
        <v>133</v>
      </c>
      <c r="D128" s="2"/>
      <c r="F128" s="246"/>
      <c r="G128" s="188"/>
      <c r="H128" s="137"/>
      <c r="I128" s="204"/>
      <c r="J128" s="219"/>
      <c r="K128" s="73"/>
      <c r="M128" s="45"/>
      <c r="N128" s="45"/>
    </row>
    <row r="129" spans="2:14" ht="12" customHeight="1" thickBot="1">
      <c r="B129" s="25"/>
      <c r="C129" s="48"/>
      <c r="D129" s="8"/>
      <c r="E129" s="8"/>
      <c r="F129" s="172"/>
      <c r="G129" s="193"/>
      <c r="H129" s="143"/>
      <c r="I129" s="214"/>
      <c r="J129" s="155"/>
      <c r="K129" s="73"/>
      <c r="M129" s="1"/>
      <c r="N129" s="1"/>
    </row>
    <row r="130" spans="2:14" ht="17" thickBot="1">
      <c r="B130" s="46"/>
      <c r="C130" s="38"/>
      <c r="D130" s="39"/>
      <c r="E130" s="39"/>
      <c r="F130" s="87"/>
      <c r="G130" s="192"/>
      <c r="H130" s="87"/>
      <c r="I130" s="206"/>
      <c r="J130" s="94" t="s">
        <v>75</v>
      </c>
      <c r="K130" s="84">
        <v>24000</v>
      </c>
    </row>
    <row r="131" spans="2:14" ht="15.75" customHeight="1">
      <c r="B131" s="40" t="s">
        <v>85</v>
      </c>
      <c r="C131" s="14" t="s">
        <v>223</v>
      </c>
      <c r="D131" s="47"/>
      <c r="E131" s="47"/>
      <c r="F131" s="167"/>
      <c r="G131" s="188"/>
      <c r="H131" s="137"/>
      <c r="I131" s="204"/>
      <c r="J131" s="152"/>
      <c r="K131" s="71"/>
      <c r="M131" s="45"/>
      <c r="N131" s="45"/>
    </row>
    <row r="132" spans="2:14" ht="30" customHeight="1">
      <c r="B132" s="41"/>
      <c r="C132" s="268" t="s">
        <v>185</v>
      </c>
      <c r="D132" s="269"/>
      <c r="E132" s="270"/>
      <c r="F132" s="167"/>
      <c r="G132" s="188"/>
      <c r="H132" s="137"/>
      <c r="I132" s="204"/>
      <c r="J132" s="120"/>
      <c r="K132" s="73"/>
      <c r="M132" s="45"/>
      <c r="N132" s="45"/>
    </row>
    <row r="133" spans="2:14" ht="15.75" customHeight="1">
      <c r="B133" s="41"/>
      <c r="C133" s="220"/>
      <c r="D133" s="221"/>
      <c r="E133" s="222"/>
      <c r="F133" s="167"/>
      <c r="G133" s="188"/>
      <c r="H133" s="137"/>
      <c r="I133" s="204"/>
      <c r="J133" s="219"/>
      <c r="K133" s="73"/>
      <c r="M133" s="45"/>
      <c r="N133" s="45"/>
    </row>
    <row r="134" spans="2:14" ht="15.75" customHeight="1">
      <c r="B134" s="41"/>
      <c r="C134" s="220"/>
      <c r="D134" s="221"/>
      <c r="E134" s="222"/>
      <c r="F134" s="167"/>
      <c r="G134" s="188"/>
      <c r="H134" s="137"/>
      <c r="I134" s="204"/>
      <c r="J134" s="219"/>
      <c r="K134" s="73"/>
      <c r="M134" s="45"/>
      <c r="N134" s="45"/>
    </row>
    <row r="135" spans="2:14" ht="14.25" customHeight="1">
      <c r="B135" s="25" t="s">
        <v>138</v>
      </c>
      <c r="C135" s="274" t="s">
        <v>65</v>
      </c>
      <c r="D135" s="275"/>
      <c r="E135" s="276"/>
      <c r="F135" s="42">
        <v>1</v>
      </c>
      <c r="G135" s="51" t="s">
        <v>58</v>
      </c>
      <c r="H135" s="67" t="s">
        <v>75</v>
      </c>
      <c r="I135" s="119">
        <v>10000</v>
      </c>
      <c r="J135" s="67" t="s">
        <v>75</v>
      </c>
      <c r="K135" s="73">
        <f>F135*I135</f>
        <v>10000</v>
      </c>
      <c r="M135" s="45"/>
      <c r="N135" s="45"/>
    </row>
    <row r="136" spans="2:14" ht="12" customHeight="1">
      <c r="B136" s="41"/>
      <c r="C136" s="49"/>
      <c r="D136" s="50"/>
      <c r="E136" s="66"/>
      <c r="F136" s="167"/>
      <c r="G136" s="188"/>
      <c r="H136" s="137"/>
      <c r="I136" s="204"/>
      <c r="J136" s="219"/>
      <c r="K136" s="73"/>
      <c r="M136" s="45"/>
      <c r="N136" s="45"/>
    </row>
    <row r="137" spans="2:14" ht="12" customHeight="1">
      <c r="B137" s="41"/>
      <c r="C137" s="43"/>
      <c r="D137" s="27"/>
      <c r="E137" s="27"/>
      <c r="F137" s="167"/>
      <c r="G137" s="188"/>
      <c r="H137" s="137"/>
      <c r="I137" s="204"/>
      <c r="J137" s="219"/>
      <c r="K137" s="73"/>
      <c r="M137" s="45"/>
      <c r="N137" s="45"/>
    </row>
    <row r="138" spans="2:14" ht="12" customHeight="1">
      <c r="B138" s="25" t="s">
        <v>139</v>
      </c>
      <c r="C138" s="42" t="s">
        <v>186</v>
      </c>
      <c r="F138" s="42"/>
      <c r="G138" s="51"/>
      <c r="H138" s="67"/>
      <c r="I138" s="119"/>
      <c r="J138" s="67"/>
      <c r="K138" s="73"/>
      <c r="M138" s="45"/>
      <c r="N138" s="45"/>
    </row>
    <row r="139" spans="2:14" s="250" customFormat="1" ht="15" customHeight="1">
      <c r="B139" s="251"/>
      <c r="C139" s="43" t="s">
        <v>187</v>
      </c>
      <c r="E139" s="252"/>
      <c r="F139" s="42">
        <v>1</v>
      </c>
      <c r="G139" s="51" t="s">
        <v>24</v>
      </c>
      <c r="H139" s="67" t="s">
        <v>75</v>
      </c>
      <c r="I139" s="119">
        <v>60000</v>
      </c>
      <c r="J139" s="67" t="s">
        <v>75</v>
      </c>
      <c r="K139" s="73">
        <f>F139*I139</f>
        <v>60000</v>
      </c>
      <c r="M139" s="45"/>
      <c r="N139" s="45"/>
    </row>
    <row r="140" spans="2:14" s="250" customFormat="1" ht="15" customHeight="1">
      <c r="B140" s="251"/>
      <c r="C140" s="43" t="s">
        <v>188</v>
      </c>
      <c r="E140" s="252"/>
      <c r="F140" s="42"/>
      <c r="G140" s="51"/>
      <c r="H140" s="67"/>
      <c r="I140" s="119"/>
      <c r="J140" s="67"/>
      <c r="K140" s="73"/>
      <c r="M140" s="45"/>
      <c r="N140" s="45"/>
    </row>
    <row r="141" spans="2:14" s="250" customFormat="1" ht="15" customHeight="1">
      <c r="B141" s="251"/>
      <c r="C141" s="43" t="s">
        <v>189</v>
      </c>
      <c r="E141" s="252"/>
      <c r="F141" s="42"/>
      <c r="G141" s="51"/>
      <c r="H141" s="67"/>
      <c r="I141" s="119"/>
      <c r="J141" s="67"/>
      <c r="K141" s="73"/>
      <c r="M141" s="45"/>
      <c r="N141" s="45"/>
    </row>
    <row r="142" spans="2:14" s="250" customFormat="1" ht="15" customHeight="1">
      <c r="B142" s="251"/>
      <c r="C142" s="43" t="s">
        <v>190</v>
      </c>
      <c r="E142" s="252"/>
      <c r="F142" s="42"/>
      <c r="G142" s="51"/>
      <c r="H142" s="67"/>
      <c r="I142" s="119"/>
      <c r="J142" s="67"/>
      <c r="K142" s="73"/>
      <c r="M142" s="45"/>
      <c r="N142" s="45"/>
    </row>
    <row r="143" spans="2:14" s="250" customFormat="1" ht="15" customHeight="1">
      <c r="B143" s="251"/>
      <c r="C143" s="43" t="s">
        <v>191</v>
      </c>
      <c r="E143" s="252"/>
      <c r="F143" s="42"/>
      <c r="G143" s="51"/>
      <c r="H143" s="67"/>
      <c r="I143" s="119"/>
      <c r="J143" s="67"/>
      <c r="K143" s="73"/>
      <c r="M143" s="45"/>
      <c r="N143" s="45"/>
    </row>
    <row r="144" spans="2:14" s="250" customFormat="1" ht="15" customHeight="1">
      <c r="B144" s="251"/>
      <c r="C144" s="43"/>
      <c r="E144" s="252"/>
      <c r="F144" s="42"/>
      <c r="G144" s="51"/>
      <c r="H144" s="67"/>
      <c r="I144" s="119"/>
      <c r="J144" s="224"/>
      <c r="K144" s="73"/>
      <c r="M144" s="45"/>
      <c r="N144" s="45"/>
    </row>
    <row r="145" spans="2:14" ht="12" customHeight="1">
      <c r="B145" s="41"/>
      <c r="C145" s="48"/>
      <c r="D145" s="8"/>
      <c r="E145" s="109"/>
      <c r="F145" s="167"/>
      <c r="G145" s="188"/>
      <c r="H145" s="137"/>
      <c r="I145" s="204"/>
      <c r="J145" s="219"/>
      <c r="K145" s="73"/>
      <c r="M145" s="45"/>
      <c r="N145" s="45"/>
    </row>
    <row r="146" spans="2:14" ht="12" customHeight="1">
      <c r="B146" s="25" t="s">
        <v>140</v>
      </c>
      <c r="C146" s="274" t="s">
        <v>171</v>
      </c>
      <c r="D146" s="275"/>
      <c r="E146" s="276"/>
      <c r="F146" s="42">
        <v>1</v>
      </c>
      <c r="G146" s="51" t="s">
        <v>97</v>
      </c>
      <c r="H146" s="123" t="s">
        <v>111</v>
      </c>
      <c r="I146" s="204">
        <v>2800</v>
      </c>
      <c r="J146" s="123" t="s">
        <v>111</v>
      </c>
      <c r="K146" s="73">
        <f>I146*F146</f>
        <v>2800</v>
      </c>
      <c r="M146" s="45"/>
      <c r="N146" s="45"/>
    </row>
    <row r="147" spans="2:14" ht="12" customHeight="1">
      <c r="B147" s="41"/>
      <c r="C147" s="220"/>
      <c r="D147" s="221"/>
      <c r="E147" s="222"/>
      <c r="F147" s="167"/>
      <c r="G147" s="188"/>
      <c r="H147" s="137"/>
      <c r="I147" s="204"/>
      <c r="J147" s="219"/>
      <c r="K147" s="73"/>
      <c r="M147" s="45"/>
      <c r="N147" s="45"/>
    </row>
    <row r="148" spans="2:14" ht="12" customHeight="1">
      <c r="B148" s="41"/>
      <c r="C148" s="220"/>
      <c r="D148" s="221"/>
      <c r="E148" s="222"/>
      <c r="F148" s="167"/>
      <c r="G148" s="188"/>
      <c r="H148" s="137"/>
      <c r="I148" s="204"/>
      <c r="J148" s="219"/>
      <c r="K148" s="73"/>
      <c r="M148" s="45"/>
      <c r="N148" s="45"/>
    </row>
    <row r="149" spans="2:14" ht="16.5" customHeight="1">
      <c r="B149" s="25" t="s">
        <v>192</v>
      </c>
      <c r="C149" s="49" t="s">
        <v>193</v>
      </c>
      <c r="D149" s="27"/>
      <c r="E149" s="27"/>
      <c r="F149" s="42">
        <v>1</v>
      </c>
      <c r="G149" s="51" t="s">
        <v>128</v>
      </c>
      <c r="H149" s="123" t="s">
        <v>75</v>
      </c>
      <c r="I149" s="122"/>
      <c r="J149" s="153"/>
      <c r="K149" s="73" t="s">
        <v>117</v>
      </c>
      <c r="M149" s="233"/>
      <c r="N149" s="233"/>
    </row>
    <row r="150" spans="2:14" ht="15.75" customHeight="1">
      <c r="B150" s="231" t="s">
        <v>194</v>
      </c>
      <c r="C150" s="49" t="s">
        <v>123</v>
      </c>
      <c r="D150" s="32"/>
      <c r="E150" s="32"/>
      <c r="F150" s="42">
        <v>1</v>
      </c>
      <c r="G150" s="51" t="s">
        <v>24</v>
      </c>
      <c r="H150" s="132"/>
      <c r="I150" s="212"/>
      <c r="J150" s="154"/>
      <c r="K150" s="88"/>
      <c r="M150" s="233"/>
      <c r="N150" s="233"/>
    </row>
    <row r="151" spans="2:14" ht="15.75" customHeight="1">
      <c r="B151" s="231" t="s">
        <v>195</v>
      </c>
      <c r="C151" s="49" t="s">
        <v>129</v>
      </c>
      <c r="D151" s="32"/>
      <c r="E151" s="32"/>
      <c r="F151" s="42">
        <v>1</v>
      </c>
      <c r="G151" s="51" t="s">
        <v>161</v>
      </c>
      <c r="H151" s="132"/>
      <c r="I151" s="212"/>
      <c r="J151" s="154"/>
      <c r="K151" s="88"/>
      <c r="M151" s="45"/>
      <c r="N151" s="45"/>
    </row>
    <row r="152" spans="2:14" ht="15.75" customHeight="1">
      <c r="B152" s="25"/>
      <c r="C152" s="253" t="s">
        <v>196</v>
      </c>
      <c r="D152" s="253"/>
      <c r="E152" s="32"/>
      <c r="F152" s="266"/>
      <c r="G152" s="283"/>
      <c r="H152" s="139"/>
      <c r="I152" s="213"/>
      <c r="J152" s="121"/>
      <c r="K152" s="73"/>
      <c r="M152" s="45"/>
      <c r="N152" s="45"/>
    </row>
    <row r="153" spans="2:14" ht="12" customHeight="1">
      <c r="B153" s="25"/>
      <c r="C153" s="268"/>
      <c r="D153" s="269"/>
      <c r="E153" s="270"/>
      <c r="F153" s="169"/>
      <c r="G153" s="191"/>
      <c r="H153" s="254"/>
      <c r="I153" s="86"/>
      <c r="J153" s="124"/>
      <c r="K153" s="73"/>
      <c r="M153" s="45"/>
      <c r="N153" s="45"/>
    </row>
    <row r="154" spans="2:14" ht="12" customHeight="1" thickBot="1">
      <c r="B154" s="25"/>
      <c r="C154" s="48"/>
      <c r="D154" s="8"/>
      <c r="E154" s="8"/>
      <c r="F154" s="172"/>
      <c r="G154" s="193"/>
      <c r="H154" s="143"/>
      <c r="I154" s="214"/>
      <c r="J154" s="155"/>
      <c r="K154" s="73"/>
      <c r="M154" s="1"/>
      <c r="N154" s="1"/>
    </row>
    <row r="155" spans="2:14" ht="17" thickBot="1">
      <c r="B155" s="46"/>
      <c r="C155" s="38"/>
      <c r="D155" s="39"/>
      <c r="E155" s="39"/>
      <c r="F155" s="87"/>
      <c r="G155" s="192"/>
      <c r="H155" s="87"/>
      <c r="I155" s="206"/>
      <c r="J155" s="94" t="s">
        <v>75</v>
      </c>
      <c r="K155" s="84">
        <f>SUM(K135:K149)</f>
        <v>72800</v>
      </c>
    </row>
    <row r="156" spans="2:14" ht="15.75" customHeight="1">
      <c r="B156" s="40" t="s">
        <v>86</v>
      </c>
      <c r="C156" s="42" t="s">
        <v>91</v>
      </c>
      <c r="D156" s="47"/>
      <c r="E156" s="47"/>
      <c r="F156" s="167"/>
      <c r="G156" s="188"/>
      <c r="H156" s="137"/>
      <c r="I156" s="204"/>
      <c r="J156" s="152"/>
      <c r="K156" s="71"/>
      <c r="M156" s="45"/>
      <c r="N156" s="45"/>
    </row>
    <row r="157" spans="2:14" ht="30" customHeight="1">
      <c r="B157" s="41"/>
      <c r="C157" s="268" t="s">
        <v>141</v>
      </c>
      <c r="D157" s="269"/>
      <c r="E157" s="270"/>
      <c r="F157" s="167"/>
      <c r="G157" s="188"/>
      <c r="H157" s="137"/>
      <c r="I157" s="204"/>
      <c r="J157" s="120"/>
      <c r="K157" s="73"/>
      <c r="M157" s="45"/>
      <c r="N157" s="45"/>
    </row>
    <row r="158" spans="2:14" ht="15.75" customHeight="1">
      <c r="B158" s="41"/>
      <c r="C158" s="271" t="s">
        <v>181</v>
      </c>
      <c r="D158" s="272"/>
      <c r="E158" s="273"/>
      <c r="F158" s="167"/>
      <c r="G158" s="188"/>
      <c r="H158" s="137"/>
      <c r="I158" s="204"/>
      <c r="J158" s="219"/>
      <c r="K158" s="73"/>
      <c r="M158" s="45"/>
      <c r="N158" s="45"/>
    </row>
    <row r="159" spans="2:14" ht="15.75" customHeight="1">
      <c r="B159" s="41"/>
      <c r="C159" s="220"/>
      <c r="D159" s="221"/>
      <c r="E159" s="222"/>
      <c r="F159" s="167"/>
      <c r="G159" s="188"/>
      <c r="H159" s="137"/>
      <c r="I159" s="204"/>
      <c r="J159" s="219"/>
      <c r="K159" s="73"/>
      <c r="M159" s="45"/>
      <c r="N159" s="45"/>
    </row>
    <row r="160" spans="2:14" ht="15.75" customHeight="1">
      <c r="B160" s="41"/>
      <c r="C160" s="220"/>
      <c r="D160" s="221"/>
      <c r="E160" s="222"/>
      <c r="F160" s="167"/>
      <c r="G160" s="188"/>
      <c r="H160" s="137"/>
      <c r="I160" s="204"/>
      <c r="J160" s="219"/>
      <c r="K160" s="73"/>
      <c r="M160" s="45"/>
      <c r="N160" s="45"/>
    </row>
    <row r="161" spans="2:14" ht="14.25" customHeight="1">
      <c r="B161" s="25" t="s">
        <v>197</v>
      </c>
      <c r="C161" s="274" t="s">
        <v>65</v>
      </c>
      <c r="D161" s="275"/>
      <c r="E161" s="276"/>
      <c r="F161" s="42">
        <v>1</v>
      </c>
      <c r="G161" s="51" t="s">
        <v>58</v>
      </c>
      <c r="H161" s="67" t="s">
        <v>75</v>
      </c>
      <c r="I161" s="119">
        <v>10000</v>
      </c>
      <c r="J161" s="67" t="s">
        <v>75</v>
      </c>
      <c r="K161" s="73">
        <f>F161*I161</f>
        <v>10000</v>
      </c>
      <c r="M161" s="45"/>
      <c r="N161" s="45"/>
    </row>
    <row r="162" spans="2:14" ht="12" customHeight="1">
      <c r="B162" s="41"/>
      <c r="C162" s="43"/>
      <c r="D162" s="27"/>
      <c r="E162" s="27"/>
      <c r="F162" s="167"/>
      <c r="G162" s="188"/>
      <c r="H162" s="137"/>
      <c r="I162" s="204"/>
      <c r="J162" s="219"/>
      <c r="K162" s="73"/>
      <c r="M162" s="45"/>
      <c r="N162" s="45"/>
    </row>
    <row r="163" spans="2:14" ht="12" customHeight="1">
      <c r="B163" s="25" t="s">
        <v>198</v>
      </c>
      <c r="C163" s="42" t="s">
        <v>142</v>
      </c>
      <c r="D163" s="234"/>
      <c r="F163" s="42">
        <v>1</v>
      </c>
      <c r="G163" s="51" t="s">
        <v>147</v>
      </c>
      <c r="H163" s="67" t="s">
        <v>75</v>
      </c>
      <c r="I163" s="119">
        <v>1200</v>
      </c>
      <c r="J163" s="67" t="s">
        <v>75</v>
      </c>
      <c r="K163" s="73">
        <f>F163*I163</f>
        <v>1200</v>
      </c>
      <c r="M163" s="45"/>
      <c r="N163" s="45"/>
    </row>
    <row r="164" spans="2:14" ht="12" customHeight="1">
      <c r="B164" s="25"/>
      <c r="C164" s="43" t="s">
        <v>143</v>
      </c>
      <c r="D164" s="234"/>
      <c r="F164" s="42"/>
      <c r="G164" s="51"/>
      <c r="H164" s="67"/>
      <c r="I164" s="119"/>
      <c r="J164" s="67"/>
      <c r="K164" s="73"/>
      <c r="M164" s="45"/>
      <c r="N164" s="45"/>
    </row>
    <row r="165" spans="2:14" ht="15.75" customHeight="1">
      <c r="B165" s="41"/>
      <c r="C165" s="43" t="s">
        <v>144</v>
      </c>
      <c r="D165" s="27"/>
      <c r="F165" s="167"/>
      <c r="G165" s="188"/>
      <c r="H165" s="137"/>
      <c r="I165" s="204"/>
      <c r="J165" s="219"/>
      <c r="K165" s="73"/>
      <c r="M165" s="45"/>
      <c r="N165" s="45"/>
    </row>
    <row r="166" spans="2:14" ht="15.75" customHeight="1">
      <c r="B166" s="41"/>
      <c r="C166" s="43" t="s">
        <v>145</v>
      </c>
      <c r="D166" s="27"/>
      <c r="F166" s="167"/>
      <c r="G166" s="188"/>
      <c r="H166" s="137"/>
      <c r="I166" s="204"/>
      <c r="J166" s="219"/>
      <c r="K166" s="73"/>
      <c r="M166" s="45"/>
      <c r="N166" s="45"/>
    </row>
    <row r="167" spans="2:14" ht="15.75" customHeight="1">
      <c r="B167" s="41"/>
      <c r="C167" s="43" t="s">
        <v>146</v>
      </c>
      <c r="D167" s="27"/>
      <c r="F167" s="167"/>
      <c r="G167" s="188"/>
      <c r="H167" s="137"/>
      <c r="I167" s="204"/>
      <c r="J167" s="219"/>
      <c r="K167" s="73"/>
      <c r="M167" s="45"/>
      <c r="N167" s="45"/>
    </row>
    <row r="168" spans="2:14" ht="15.75" customHeight="1">
      <c r="B168" s="41"/>
      <c r="C168" s="43" t="s">
        <v>176</v>
      </c>
      <c r="D168" s="27"/>
      <c r="F168" s="167"/>
      <c r="G168" s="188"/>
      <c r="H168" s="137"/>
      <c r="I168" s="204"/>
      <c r="J168" s="219"/>
      <c r="K168" s="73"/>
      <c r="M168" s="45"/>
      <c r="N168" s="45"/>
    </row>
    <row r="169" spans="2:14" ht="15.75" customHeight="1">
      <c r="B169" s="41"/>
      <c r="C169" s="43"/>
      <c r="D169" s="27"/>
      <c r="F169" s="30"/>
      <c r="G169" s="188"/>
      <c r="H169" s="137"/>
      <c r="I169" s="204"/>
      <c r="J169" s="219"/>
      <c r="K169" s="73"/>
      <c r="M169" s="45"/>
      <c r="N169" s="45"/>
    </row>
    <row r="170" spans="2:14" ht="12" customHeight="1">
      <c r="B170" s="41"/>
      <c r="C170" s="48"/>
      <c r="D170" s="8"/>
      <c r="E170" s="109"/>
      <c r="F170" s="167"/>
      <c r="G170" s="188"/>
      <c r="H170" s="137"/>
      <c r="I170" s="204"/>
      <c r="J170" s="219"/>
      <c r="K170" s="73"/>
      <c r="M170" s="45"/>
      <c r="N170" s="45"/>
    </row>
    <row r="171" spans="2:14" ht="12" customHeight="1">
      <c r="B171" s="25" t="s">
        <v>199</v>
      </c>
      <c r="C171" s="274" t="s">
        <v>171</v>
      </c>
      <c r="D171" s="275"/>
      <c r="E171" s="276"/>
      <c r="F171" s="42">
        <v>1</v>
      </c>
      <c r="G171" s="51" t="s">
        <v>97</v>
      </c>
      <c r="H171" s="123" t="s">
        <v>111</v>
      </c>
      <c r="I171" s="204" t="s">
        <v>182</v>
      </c>
      <c r="J171" s="123" t="s">
        <v>111</v>
      </c>
      <c r="K171" s="73" t="s">
        <v>182</v>
      </c>
      <c r="M171" s="45"/>
      <c r="N171" s="45"/>
    </row>
    <row r="172" spans="2:14" ht="12.75" customHeight="1">
      <c r="B172" s="25"/>
      <c r="C172" s="243"/>
      <c r="D172" s="223"/>
      <c r="E172" s="232"/>
      <c r="F172" s="42"/>
      <c r="G172" s="51"/>
      <c r="H172" s="123"/>
      <c r="I172" s="122"/>
      <c r="J172" s="123"/>
      <c r="K172" s="73"/>
      <c r="M172" s="45"/>
      <c r="N172" s="45"/>
    </row>
    <row r="173" spans="2:14" ht="15" customHeight="1">
      <c r="B173" s="25" t="s">
        <v>200</v>
      </c>
      <c r="C173" s="274" t="s">
        <v>162</v>
      </c>
      <c r="D173" s="275"/>
      <c r="E173" s="276"/>
      <c r="F173" s="42">
        <v>1</v>
      </c>
      <c r="G173" s="51" t="s">
        <v>148</v>
      </c>
      <c r="H173" s="123" t="s">
        <v>75</v>
      </c>
      <c r="I173" s="122">
        <v>5000</v>
      </c>
      <c r="J173" s="123"/>
      <c r="K173" s="73" t="s">
        <v>117</v>
      </c>
      <c r="M173" s="233"/>
      <c r="N173" s="233"/>
    </row>
    <row r="174" spans="2:14" ht="12" customHeight="1" thickBot="1">
      <c r="B174" s="25"/>
      <c r="C174" s="48"/>
      <c r="D174" s="8"/>
      <c r="E174" s="8"/>
      <c r="F174" s="172"/>
      <c r="G174" s="193"/>
      <c r="H174" s="143"/>
      <c r="I174" s="214"/>
      <c r="J174" s="155"/>
      <c r="K174" s="73"/>
      <c r="M174" s="1"/>
      <c r="N174" s="1"/>
    </row>
    <row r="175" spans="2:14" ht="17" thickBot="1">
      <c r="B175" s="46"/>
      <c r="C175" s="38"/>
      <c r="D175" s="39"/>
      <c r="E175" s="39"/>
      <c r="F175" s="87"/>
      <c r="G175" s="192"/>
      <c r="H175" s="87"/>
      <c r="I175" s="206"/>
      <c r="J175" s="94" t="s">
        <v>75</v>
      </c>
      <c r="K175" s="84">
        <f>SUM(K161:K171)</f>
        <v>11200</v>
      </c>
    </row>
    <row r="176" spans="2:14" ht="15.75" customHeight="1">
      <c r="B176" s="40" t="s">
        <v>201</v>
      </c>
      <c r="C176" s="42" t="s">
        <v>225</v>
      </c>
      <c r="D176" s="47"/>
      <c r="E176" s="47"/>
      <c r="F176" s="167"/>
      <c r="G176" s="188"/>
      <c r="H176" s="137"/>
      <c r="I176" s="204"/>
      <c r="J176" s="152"/>
      <c r="K176" s="71"/>
      <c r="M176" s="45"/>
      <c r="N176" s="45"/>
    </row>
    <row r="177" spans="2:14" ht="30" customHeight="1">
      <c r="B177" s="41"/>
      <c r="C177" s="268" t="s">
        <v>202</v>
      </c>
      <c r="D177" s="269"/>
      <c r="E177" s="270"/>
      <c r="F177" s="167"/>
      <c r="G177" s="188"/>
      <c r="H177" s="137"/>
      <c r="I177" s="204"/>
      <c r="J177" s="120"/>
      <c r="K177" s="73"/>
      <c r="M177" s="45"/>
      <c r="N177" s="45"/>
    </row>
    <row r="178" spans="2:14" ht="15.75" customHeight="1">
      <c r="B178" s="41"/>
      <c r="C178" s="271" t="s">
        <v>203</v>
      </c>
      <c r="D178" s="272"/>
      <c r="E178" s="273"/>
      <c r="F178" s="167"/>
      <c r="G178" s="188"/>
      <c r="H178" s="137"/>
      <c r="I178" s="204"/>
      <c r="J178" s="219"/>
      <c r="K178" s="73"/>
      <c r="M178" s="45"/>
      <c r="N178" s="45"/>
    </row>
    <row r="179" spans="2:14" ht="15.75" customHeight="1">
      <c r="B179" s="41"/>
      <c r="C179" s="226"/>
      <c r="D179" s="227"/>
      <c r="E179" s="228"/>
      <c r="F179" s="167"/>
      <c r="G179" s="188"/>
      <c r="H179" s="137"/>
      <c r="I179" s="204"/>
      <c r="J179" s="219"/>
      <c r="K179" s="73"/>
      <c r="M179" s="45"/>
      <c r="N179" s="45"/>
    </row>
    <row r="180" spans="2:14" ht="12.75" customHeight="1">
      <c r="B180" s="41"/>
      <c r="C180" s="220"/>
      <c r="D180" s="221"/>
      <c r="E180" s="222"/>
      <c r="F180" s="167"/>
      <c r="G180" s="188"/>
      <c r="H180" s="137"/>
      <c r="I180" s="204"/>
      <c r="J180" s="219"/>
      <c r="K180" s="73"/>
      <c r="M180" s="45"/>
      <c r="N180" s="45"/>
    </row>
    <row r="181" spans="2:14" ht="14.25" customHeight="1">
      <c r="B181" s="25" t="s">
        <v>204</v>
      </c>
      <c r="C181" s="274" t="s">
        <v>65</v>
      </c>
      <c r="D181" s="275"/>
      <c r="E181" s="276"/>
      <c r="F181" s="42">
        <v>1</v>
      </c>
      <c r="G181" s="51" t="s">
        <v>58</v>
      </c>
      <c r="H181" s="67" t="s">
        <v>75</v>
      </c>
      <c r="I181" s="119">
        <v>10000</v>
      </c>
      <c r="J181" s="67" t="s">
        <v>75</v>
      </c>
      <c r="K181" s="73">
        <f>F181*I181</f>
        <v>10000</v>
      </c>
      <c r="M181" s="45"/>
      <c r="N181" s="45"/>
    </row>
    <row r="182" spans="2:14" ht="12" customHeight="1">
      <c r="B182" s="41"/>
      <c r="C182" s="49"/>
      <c r="D182" s="50"/>
      <c r="E182" s="66"/>
      <c r="F182" s="167"/>
      <c r="G182" s="188"/>
      <c r="H182" s="137"/>
      <c r="I182" s="204"/>
      <c r="J182" s="219"/>
      <c r="K182" s="73"/>
      <c r="M182" s="45"/>
      <c r="N182" s="45"/>
    </row>
    <row r="183" spans="2:14" ht="16.5" customHeight="1">
      <c r="B183" s="25" t="s">
        <v>205</v>
      </c>
      <c r="C183" s="274" t="s">
        <v>206</v>
      </c>
      <c r="D183" s="275"/>
      <c r="E183" s="276"/>
      <c r="F183" s="42"/>
      <c r="G183" s="51"/>
      <c r="H183" s="67"/>
      <c r="I183" s="119"/>
      <c r="J183" s="67"/>
      <c r="K183" s="73"/>
      <c r="M183" s="233"/>
      <c r="N183" s="233"/>
    </row>
    <row r="184" spans="2:14" ht="16.5" customHeight="1">
      <c r="B184" s="41"/>
      <c r="C184" s="43" t="s">
        <v>207</v>
      </c>
      <c r="D184" s="223"/>
      <c r="E184" s="232"/>
      <c r="F184" s="42">
        <v>1</v>
      </c>
      <c r="G184" s="51" t="s">
        <v>24</v>
      </c>
      <c r="H184" s="123" t="s">
        <v>111</v>
      </c>
      <c r="I184" s="204">
        <v>12000</v>
      </c>
      <c r="J184" s="123" t="s">
        <v>111</v>
      </c>
      <c r="K184" s="73">
        <f>I184*F184</f>
        <v>12000</v>
      </c>
      <c r="M184" s="233"/>
      <c r="N184" s="233"/>
    </row>
    <row r="185" spans="2:14" ht="16.5" customHeight="1">
      <c r="B185" s="41"/>
      <c r="C185" s="43" t="s">
        <v>208</v>
      </c>
      <c r="D185" s="223"/>
      <c r="E185" s="232"/>
      <c r="F185" s="42"/>
      <c r="G185" s="51"/>
      <c r="H185" s="123"/>
      <c r="I185" s="204"/>
      <c r="J185" s="123"/>
      <c r="K185" s="73"/>
      <c r="M185" s="233"/>
      <c r="N185" s="233"/>
    </row>
    <row r="186" spans="2:14" ht="16.5" customHeight="1">
      <c r="B186" s="41"/>
      <c r="C186" s="43" t="s">
        <v>209</v>
      </c>
      <c r="D186" s="223"/>
      <c r="E186" s="232"/>
      <c r="F186" s="42"/>
      <c r="G186" s="51"/>
      <c r="H186" s="123"/>
      <c r="I186" s="204"/>
      <c r="J186" s="123"/>
      <c r="K186" s="73"/>
      <c r="M186" s="233"/>
      <c r="N186" s="233"/>
    </row>
    <row r="187" spans="2:14" ht="16.5" customHeight="1">
      <c r="B187" s="41"/>
      <c r="C187" s="43" t="s">
        <v>210</v>
      </c>
      <c r="D187" s="223"/>
      <c r="E187" s="223"/>
      <c r="F187" s="42"/>
      <c r="G187" s="51"/>
      <c r="H187" s="123"/>
      <c r="I187" s="204"/>
      <c r="J187" s="123"/>
      <c r="K187" s="73"/>
      <c r="M187" s="233"/>
      <c r="N187" s="233"/>
    </row>
    <row r="188" spans="2:14" ht="16.5" customHeight="1">
      <c r="B188" s="41"/>
      <c r="C188" s="43" t="s">
        <v>211</v>
      </c>
      <c r="D188" s="223"/>
      <c r="E188" s="223"/>
      <c r="F188" s="42"/>
      <c r="G188" s="51"/>
      <c r="H188" s="123"/>
      <c r="I188" s="204"/>
      <c r="J188" s="123"/>
      <c r="K188" s="73"/>
      <c r="M188" s="233"/>
      <c r="N188" s="233"/>
    </row>
    <row r="189" spans="2:14" ht="12" customHeight="1">
      <c r="B189" s="25"/>
      <c r="C189" s="268"/>
      <c r="D189" s="269"/>
      <c r="E189" s="270"/>
      <c r="F189" s="169"/>
      <c r="G189" s="191"/>
      <c r="H189" s="254"/>
      <c r="I189" s="86"/>
      <c r="J189" s="124"/>
      <c r="K189" s="73"/>
      <c r="M189" s="45"/>
      <c r="N189" s="45"/>
    </row>
    <row r="190" spans="2:14" ht="12" customHeight="1" thickBot="1">
      <c r="B190" s="25"/>
      <c r="C190" s="48"/>
      <c r="D190" s="8"/>
      <c r="E190" s="8"/>
      <c r="F190" s="172"/>
      <c r="G190" s="193"/>
      <c r="H190" s="143"/>
      <c r="I190" s="214"/>
      <c r="J190" s="155"/>
      <c r="K190" s="73"/>
      <c r="M190" s="1"/>
      <c r="N190" s="1"/>
    </row>
    <row r="191" spans="2:14" ht="17" thickBot="1">
      <c r="B191" s="46"/>
      <c r="C191" s="38"/>
      <c r="D191" s="39"/>
      <c r="E191" s="39"/>
      <c r="F191" s="87"/>
      <c r="G191" s="192"/>
      <c r="H191" s="87"/>
      <c r="I191" s="206"/>
      <c r="J191" s="94" t="s">
        <v>75</v>
      </c>
      <c r="K191" s="84">
        <f>SUM(K181:K188)</f>
        <v>22000</v>
      </c>
    </row>
    <row r="192" spans="2:14" ht="15.75" customHeight="1">
      <c r="B192" s="40" t="s">
        <v>212</v>
      </c>
      <c r="C192" s="42" t="s">
        <v>226</v>
      </c>
      <c r="D192" s="47"/>
      <c r="E192" s="47"/>
      <c r="F192" s="167"/>
      <c r="G192" s="188"/>
      <c r="H192" s="137"/>
      <c r="I192" s="204"/>
      <c r="J192" s="152"/>
      <c r="K192" s="71"/>
      <c r="M192" s="45"/>
      <c r="N192" s="45"/>
    </row>
    <row r="193" spans="2:14" ht="33.5" customHeight="1">
      <c r="B193" s="25"/>
      <c r="C193" s="268" t="s">
        <v>213</v>
      </c>
      <c r="D193" s="269"/>
      <c r="E193" s="270"/>
      <c r="F193" s="164"/>
      <c r="G193" s="185"/>
      <c r="H193" s="134"/>
      <c r="I193" s="202"/>
      <c r="J193" s="114"/>
      <c r="K193" s="79"/>
      <c r="M193" s="1"/>
      <c r="N193" s="1"/>
    </row>
    <row r="194" spans="2:14" ht="18" customHeight="1">
      <c r="B194" s="25"/>
      <c r="C194" s="271" t="s">
        <v>214</v>
      </c>
      <c r="D194" s="272"/>
      <c r="E194" s="273"/>
      <c r="F194" s="164"/>
      <c r="G194" s="185"/>
      <c r="H194" s="134"/>
      <c r="I194" s="202"/>
      <c r="J194" s="225"/>
      <c r="K194" s="79"/>
      <c r="M194" s="1"/>
      <c r="N194" s="1"/>
    </row>
    <row r="195" spans="2:14" ht="12.75" customHeight="1">
      <c r="B195" s="25"/>
      <c r="C195" s="226"/>
      <c r="D195" s="227"/>
      <c r="E195" s="228"/>
      <c r="F195" s="164"/>
      <c r="G195" s="185"/>
      <c r="H195" s="134"/>
      <c r="I195" s="202"/>
      <c r="J195" s="225"/>
      <c r="K195" s="79"/>
      <c r="M195" s="1"/>
      <c r="N195" s="1"/>
    </row>
    <row r="196" spans="2:14" ht="12.75" customHeight="1">
      <c r="B196" s="25"/>
      <c r="C196" s="220"/>
      <c r="D196" s="221"/>
      <c r="E196" s="222"/>
      <c r="F196" s="164"/>
      <c r="G196" s="185"/>
      <c r="H196" s="134"/>
      <c r="I196" s="202"/>
      <c r="J196" s="225"/>
      <c r="K196" s="79"/>
      <c r="M196" s="1"/>
      <c r="N196" s="1"/>
    </row>
    <row r="197" spans="2:14" ht="16.5" customHeight="1">
      <c r="B197" s="25" t="s">
        <v>215</v>
      </c>
      <c r="C197" s="49" t="s">
        <v>65</v>
      </c>
      <c r="D197" s="50"/>
      <c r="E197" s="66"/>
      <c r="F197" s="42">
        <v>1</v>
      </c>
      <c r="G197" s="51" t="s">
        <v>52</v>
      </c>
      <c r="H197" s="123" t="s">
        <v>75</v>
      </c>
      <c r="I197" s="119">
        <v>10000</v>
      </c>
      <c r="J197" s="123" t="s">
        <v>75</v>
      </c>
      <c r="K197" s="73">
        <f>F197*I197</f>
        <v>10000</v>
      </c>
      <c r="M197" s="45"/>
      <c r="N197" s="45"/>
    </row>
    <row r="198" spans="2:14" ht="16.5" customHeight="1">
      <c r="B198" s="25"/>
      <c r="C198" s="49"/>
      <c r="D198" s="50"/>
      <c r="E198" s="66"/>
      <c r="F198" s="42"/>
      <c r="G198" s="51"/>
      <c r="H198" s="123"/>
      <c r="I198" s="119"/>
      <c r="J198" s="245"/>
      <c r="K198" s="73"/>
      <c r="M198" s="45"/>
      <c r="N198" s="45"/>
    </row>
    <row r="199" spans="2:14" ht="16.5" customHeight="1">
      <c r="B199" s="25" t="s">
        <v>216</v>
      </c>
      <c r="C199" s="42" t="s">
        <v>217</v>
      </c>
      <c r="D199" s="8"/>
      <c r="E199" s="8"/>
      <c r="F199" s="42"/>
      <c r="G199" s="51"/>
      <c r="H199" s="67"/>
      <c r="I199" s="119"/>
      <c r="J199" s="67"/>
      <c r="K199" s="73"/>
      <c r="M199" s="45"/>
      <c r="N199" s="45"/>
    </row>
    <row r="200" spans="2:14" ht="16.5" customHeight="1">
      <c r="B200" s="25"/>
      <c r="C200" s="112" t="s">
        <v>218</v>
      </c>
      <c r="D200" s="8"/>
      <c r="E200" s="8"/>
      <c r="F200" s="42">
        <v>1</v>
      </c>
      <c r="G200" s="51" t="s">
        <v>24</v>
      </c>
      <c r="H200" s="123" t="s">
        <v>111</v>
      </c>
      <c r="I200" s="204">
        <v>40000</v>
      </c>
      <c r="J200" s="123" t="s">
        <v>111</v>
      </c>
      <c r="K200" s="73">
        <f>I200*F200</f>
        <v>40000</v>
      </c>
      <c r="M200" s="45"/>
      <c r="N200" s="45"/>
    </row>
    <row r="201" spans="2:14">
      <c r="B201" s="25"/>
      <c r="C201" s="112" t="s">
        <v>219</v>
      </c>
      <c r="D201" s="8"/>
      <c r="E201" s="8"/>
      <c r="F201" s="42"/>
      <c r="G201" s="51"/>
      <c r="H201" s="123"/>
      <c r="I201" s="204"/>
      <c r="J201" s="123"/>
      <c r="K201" s="73"/>
      <c r="M201" s="1"/>
      <c r="N201" s="1"/>
    </row>
    <row r="202" spans="2:14">
      <c r="B202" s="25"/>
      <c r="C202" s="112" t="s">
        <v>209</v>
      </c>
      <c r="D202" s="8"/>
      <c r="E202" s="8"/>
      <c r="F202" s="42"/>
      <c r="G202" s="51"/>
      <c r="H202" s="123"/>
      <c r="I202" s="204"/>
      <c r="J202" s="123"/>
      <c r="K202" s="73"/>
      <c r="M202" s="1"/>
      <c r="N202" s="1"/>
    </row>
    <row r="203" spans="2:14">
      <c r="B203" s="25"/>
      <c r="C203" s="112" t="s">
        <v>220</v>
      </c>
      <c r="D203" s="8"/>
      <c r="E203" s="8"/>
      <c r="F203" s="42"/>
      <c r="G203" s="51"/>
      <c r="H203" s="123"/>
      <c r="I203" s="204"/>
      <c r="J203" s="123"/>
      <c r="K203" s="73"/>
      <c r="M203" s="1"/>
      <c r="N203" s="1"/>
    </row>
    <row r="204" spans="2:14" ht="15.5" customHeight="1">
      <c r="B204" s="25"/>
      <c r="C204" s="112" t="s">
        <v>221</v>
      </c>
      <c r="D204" s="255"/>
      <c r="F204" s="42"/>
      <c r="G204" s="51"/>
      <c r="H204" s="123"/>
      <c r="I204" s="204"/>
      <c r="J204" s="123"/>
      <c r="K204" s="73"/>
      <c r="M204" s="1"/>
      <c r="N204" s="1"/>
    </row>
    <row r="205" spans="2:14" ht="21.5" customHeight="1">
      <c r="B205" s="25"/>
      <c r="C205" s="43"/>
      <c r="D205" s="27"/>
      <c r="E205" s="27"/>
      <c r="F205" s="162"/>
      <c r="G205" s="183"/>
      <c r="H205" s="132"/>
      <c r="I205" s="212"/>
      <c r="J205" s="154"/>
      <c r="K205" s="88"/>
      <c r="M205" s="1"/>
      <c r="N205" s="1"/>
    </row>
    <row r="206" spans="2:14" ht="17" thickBot="1">
      <c r="B206" s="25"/>
      <c r="C206" s="48"/>
      <c r="D206" s="8"/>
      <c r="E206" s="8"/>
      <c r="F206" s="172"/>
      <c r="G206" s="193"/>
      <c r="H206" s="143"/>
      <c r="I206" s="214"/>
      <c r="J206" s="155"/>
      <c r="K206" s="82"/>
      <c r="M206" s="1"/>
      <c r="N206" s="1"/>
    </row>
    <row r="207" spans="2:14" ht="17" thickBot="1">
      <c r="B207" s="46"/>
      <c r="C207" s="38"/>
      <c r="D207" s="39"/>
      <c r="E207" s="39"/>
      <c r="F207" s="87"/>
      <c r="G207" s="192"/>
      <c r="H207" s="83"/>
      <c r="I207" s="83" t="s">
        <v>22</v>
      </c>
      <c r="J207" s="83" t="s">
        <v>75</v>
      </c>
      <c r="K207" s="84">
        <f>SUM(K197:K204)</f>
        <v>50000</v>
      </c>
    </row>
    <row r="208" spans="2:14" ht="15.75" customHeight="1">
      <c r="B208" s="41" t="s">
        <v>222</v>
      </c>
      <c r="C208" s="14" t="s">
        <v>238</v>
      </c>
      <c r="D208" s="24"/>
      <c r="E208" s="24"/>
      <c r="F208" s="167"/>
      <c r="G208" s="188"/>
      <c r="H208" s="137"/>
      <c r="I208" s="204"/>
      <c r="J208" s="120"/>
      <c r="K208" s="73"/>
      <c r="M208" s="45"/>
      <c r="N208" s="45"/>
    </row>
    <row r="209" spans="2:14" ht="33.5" customHeight="1">
      <c r="B209" s="41"/>
      <c r="C209" s="264" t="s">
        <v>239</v>
      </c>
      <c r="D209" s="265"/>
      <c r="E209" s="290"/>
      <c r="F209" s="30"/>
      <c r="G209" s="2"/>
      <c r="H209" s="30"/>
      <c r="I209" s="2"/>
      <c r="J209" s="30"/>
      <c r="K209" s="79"/>
      <c r="M209" s="1"/>
      <c r="N209" s="1"/>
    </row>
    <row r="210" spans="2:14" ht="18" customHeight="1">
      <c r="B210" s="41"/>
      <c r="C210" s="17"/>
      <c r="D210" s="9"/>
      <c r="E210" s="9"/>
      <c r="F210" s="30"/>
      <c r="G210" s="2"/>
      <c r="H210" s="30"/>
      <c r="I210" s="2"/>
      <c r="J210" s="30"/>
      <c r="K210" s="79"/>
      <c r="M210" s="1"/>
      <c r="N210" s="1"/>
    </row>
    <row r="211" spans="2:14" ht="18" customHeight="1">
      <c r="B211" s="25" t="s">
        <v>263</v>
      </c>
      <c r="C211" s="42" t="s">
        <v>99</v>
      </c>
      <c r="D211" s="2"/>
      <c r="E211" s="2"/>
      <c r="F211" s="104">
        <v>1</v>
      </c>
      <c r="G211" s="188" t="s">
        <v>240</v>
      </c>
      <c r="H211" s="137" t="s">
        <v>241</v>
      </c>
      <c r="I211" s="217">
        <v>20000</v>
      </c>
      <c r="J211" s="114" t="s">
        <v>241</v>
      </c>
      <c r="K211" s="218">
        <v>20000</v>
      </c>
      <c r="M211" s="1"/>
      <c r="N211" s="1"/>
    </row>
    <row r="212" spans="2:14" ht="16.5" customHeight="1">
      <c r="B212" s="41"/>
      <c r="C212" s="43" t="s">
        <v>242</v>
      </c>
      <c r="D212" s="101"/>
      <c r="E212" s="27"/>
      <c r="F212" s="168"/>
      <c r="G212" s="189"/>
      <c r="H212" s="138"/>
      <c r="I212" s="207"/>
      <c r="J212" s="116"/>
      <c r="K212" s="73"/>
      <c r="M212" s="45"/>
      <c r="N212" s="45"/>
    </row>
    <row r="213" spans="2:14" ht="16.5" customHeight="1">
      <c r="B213" s="41"/>
      <c r="C213" s="43" t="s">
        <v>243</v>
      </c>
      <c r="E213" s="27"/>
      <c r="F213" s="168"/>
      <c r="G213" s="189"/>
      <c r="H213" s="138"/>
      <c r="I213" s="207"/>
      <c r="J213" s="116"/>
      <c r="K213" s="73"/>
      <c r="M213" s="45"/>
      <c r="N213" s="45"/>
    </row>
    <row r="214" spans="2:14" ht="16.5" customHeight="1">
      <c r="B214" s="41"/>
      <c r="C214" s="43" t="s">
        <v>244</v>
      </c>
      <c r="D214" s="102"/>
      <c r="E214" s="27"/>
      <c r="F214" s="168"/>
      <c r="G214" s="189"/>
      <c r="H214" s="138"/>
      <c r="I214" s="208"/>
      <c r="J214" s="150"/>
      <c r="K214" s="198"/>
      <c r="M214" s="45"/>
      <c r="N214" s="45"/>
    </row>
    <row r="215" spans="2:14" ht="16.5" customHeight="1">
      <c r="B215" s="41"/>
      <c r="C215" s="43" t="s">
        <v>245</v>
      </c>
      <c r="D215" s="102"/>
      <c r="E215" s="27"/>
      <c r="F215" s="168"/>
      <c r="G215" s="189"/>
      <c r="H215" s="138"/>
      <c r="I215" s="208"/>
      <c r="J215" s="256"/>
      <c r="K215" s="198"/>
      <c r="M215" s="45"/>
      <c r="N215" s="45"/>
    </row>
    <row r="216" spans="2:14">
      <c r="B216" s="41"/>
      <c r="C216" s="43"/>
      <c r="D216" s="102"/>
      <c r="E216" s="27"/>
      <c r="F216" s="168"/>
      <c r="G216" s="189"/>
      <c r="H216" s="138"/>
      <c r="I216" s="208"/>
      <c r="J216" s="256"/>
      <c r="K216" s="198"/>
      <c r="M216" s="1"/>
      <c r="N216" s="1"/>
    </row>
    <row r="217" spans="2:14">
      <c r="B217" s="25" t="s">
        <v>264</v>
      </c>
      <c r="C217" s="42" t="s">
        <v>246</v>
      </c>
      <c r="D217" s="102"/>
      <c r="E217" s="27"/>
      <c r="F217" s="104">
        <v>1</v>
      </c>
      <c r="G217" s="189" t="s">
        <v>24</v>
      </c>
      <c r="H217" s="137" t="s">
        <v>241</v>
      </c>
      <c r="I217" s="217">
        <v>1000</v>
      </c>
      <c r="J217" s="114" t="s">
        <v>241</v>
      </c>
      <c r="K217" s="218">
        <f>F217*I217</f>
        <v>1000</v>
      </c>
      <c r="M217" s="1"/>
      <c r="N217" s="1"/>
    </row>
    <row r="218" spans="2:14">
      <c r="B218" s="41"/>
      <c r="C218" s="43" t="s">
        <v>247</v>
      </c>
      <c r="D218" s="102"/>
      <c r="E218" s="27"/>
      <c r="F218" s="168"/>
      <c r="G218" s="189"/>
      <c r="H218" s="138"/>
      <c r="I218" s="208"/>
      <c r="J218" s="256"/>
      <c r="K218" s="198"/>
      <c r="M218" s="1"/>
      <c r="N218" s="1"/>
    </row>
    <row r="219" spans="2:14" ht="15.5" customHeight="1">
      <c r="B219" s="41"/>
      <c r="C219" s="43" t="s">
        <v>248</v>
      </c>
      <c r="D219" s="102"/>
      <c r="E219" s="27"/>
      <c r="F219" s="168"/>
      <c r="G219" s="189"/>
      <c r="H219" s="138"/>
      <c r="I219" s="208"/>
      <c r="J219" s="256"/>
      <c r="K219" s="198"/>
      <c r="M219" s="1"/>
      <c r="N219" s="1"/>
    </row>
    <row r="220" spans="2:14">
      <c r="B220" s="41"/>
      <c r="C220" s="43" t="s">
        <v>249</v>
      </c>
      <c r="D220" s="102"/>
      <c r="E220" s="27"/>
      <c r="F220" s="168"/>
      <c r="G220" s="189"/>
      <c r="H220" s="138"/>
      <c r="I220" s="208"/>
      <c r="J220" s="256"/>
      <c r="K220" s="198"/>
      <c r="M220" s="1"/>
      <c r="N220" s="1"/>
    </row>
    <row r="221" spans="2:14" ht="17" outlineLevel="1" thickBot="1">
      <c r="B221" s="41"/>
      <c r="C221" s="43"/>
      <c r="D221" s="102"/>
      <c r="E221" s="27"/>
      <c r="F221" s="168"/>
      <c r="G221" s="189"/>
      <c r="H221" s="138"/>
      <c r="I221" s="208"/>
      <c r="J221" s="257"/>
      <c r="K221" s="198"/>
    </row>
    <row r="222" spans="2:14" ht="17" thickBot="1">
      <c r="B222" s="46"/>
      <c r="C222" s="38"/>
      <c r="D222" s="39"/>
      <c r="E222" s="39"/>
      <c r="F222" s="87"/>
      <c r="G222" s="192"/>
      <c r="H222" s="87"/>
      <c r="I222" s="206"/>
      <c r="J222" s="94" t="s">
        <v>250</v>
      </c>
      <c r="K222" s="84">
        <f>SUM(K209:K220)</f>
        <v>21000</v>
      </c>
    </row>
    <row r="223" spans="2:14">
      <c r="B223" s="40" t="s">
        <v>235</v>
      </c>
      <c r="C223" s="14" t="s">
        <v>251</v>
      </c>
      <c r="D223" s="47"/>
      <c r="E223" s="47"/>
      <c r="F223" s="167"/>
      <c r="G223" s="188"/>
      <c r="H223" s="137"/>
      <c r="I223" s="204"/>
      <c r="J223" s="152"/>
      <c r="K223" s="71"/>
    </row>
    <row r="224" spans="2:14">
      <c r="B224" s="41"/>
      <c r="C224" s="268" t="s">
        <v>252</v>
      </c>
      <c r="D224" s="269"/>
      <c r="E224" s="270"/>
      <c r="F224" s="167"/>
      <c r="G224" s="188"/>
      <c r="H224" s="137"/>
      <c r="I224" s="204"/>
      <c r="J224" s="120"/>
      <c r="K224" s="73"/>
    </row>
    <row r="225" spans="2:11">
      <c r="B225" s="41"/>
      <c r="C225" s="220"/>
      <c r="D225" s="221"/>
      <c r="E225" s="222"/>
      <c r="F225" s="167"/>
      <c r="G225" s="188"/>
      <c r="H225" s="137"/>
      <c r="I225" s="204"/>
      <c r="J225" s="219"/>
      <c r="K225" s="73"/>
    </row>
    <row r="226" spans="2:11" ht="15.75" customHeight="1">
      <c r="B226" s="25" t="s">
        <v>265</v>
      </c>
      <c r="C226" s="277" t="s">
        <v>253</v>
      </c>
      <c r="D226" s="278"/>
      <c r="E226" s="279"/>
      <c r="F226" s="42">
        <v>1</v>
      </c>
      <c r="G226" s="51" t="s">
        <v>254</v>
      </c>
      <c r="H226" s="67" t="s">
        <v>250</v>
      </c>
      <c r="I226" s="119">
        <v>20000</v>
      </c>
      <c r="J226" s="67" t="s">
        <v>250</v>
      </c>
      <c r="K226" s="73">
        <f>F226*I226</f>
        <v>20000</v>
      </c>
    </row>
    <row r="227" spans="2:11" ht="15.75" customHeight="1">
      <c r="B227" s="25"/>
      <c r="C227" s="112" t="s">
        <v>255</v>
      </c>
      <c r="D227" s="229"/>
      <c r="E227" s="230"/>
      <c r="F227" s="42"/>
      <c r="G227" s="51"/>
      <c r="H227" s="67"/>
      <c r="I227" s="119"/>
      <c r="J227" s="67"/>
      <c r="K227" s="73"/>
    </row>
    <row r="228" spans="2:11" ht="15.5" customHeight="1">
      <c r="B228" s="25"/>
      <c r="C228" s="112" t="s">
        <v>256</v>
      </c>
      <c r="D228" s="229"/>
      <c r="E228" s="229"/>
      <c r="F228" s="42"/>
      <c r="G228" s="51"/>
      <c r="H228" s="67"/>
      <c r="I228" s="119"/>
      <c r="J228" s="67"/>
      <c r="K228" s="73"/>
    </row>
    <row r="229" spans="2:11" ht="15.75" customHeight="1">
      <c r="B229" s="25"/>
      <c r="C229" s="112" t="s">
        <v>257</v>
      </c>
      <c r="D229" s="229"/>
      <c r="E229" s="229"/>
      <c r="F229" s="42"/>
      <c r="G229" s="51"/>
      <c r="H229" s="67"/>
      <c r="I229" s="119"/>
      <c r="J229" s="67"/>
      <c r="K229" s="73"/>
    </row>
    <row r="230" spans="2:11" ht="15.75" customHeight="1">
      <c r="B230" s="41"/>
      <c r="C230" s="112" t="s">
        <v>258</v>
      </c>
      <c r="D230" s="229"/>
      <c r="E230" s="229"/>
      <c r="F230" s="167"/>
      <c r="G230" s="188"/>
      <c r="H230" s="137"/>
      <c r="I230" s="204"/>
      <c r="J230" s="219"/>
      <c r="K230" s="73"/>
    </row>
    <row r="231" spans="2:11" ht="15.75" customHeight="1">
      <c r="B231" s="41"/>
      <c r="C231" s="43"/>
      <c r="D231" s="27"/>
      <c r="E231" s="27"/>
      <c r="F231" s="167"/>
      <c r="G231" s="188"/>
      <c r="H231" s="137"/>
      <c r="I231" s="204"/>
      <c r="J231" s="219"/>
      <c r="K231" s="73"/>
    </row>
    <row r="232" spans="2:11" ht="15.75" customHeight="1">
      <c r="B232" s="25" t="s">
        <v>266</v>
      </c>
      <c r="C232" s="277" t="s">
        <v>259</v>
      </c>
      <c r="D232" s="278"/>
      <c r="E232" s="279"/>
      <c r="F232" s="42">
        <v>1</v>
      </c>
      <c r="G232" s="51" t="s">
        <v>24</v>
      </c>
      <c r="H232" s="67" t="s">
        <v>250</v>
      </c>
      <c r="I232" s="119">
        <v>1000</v>
      </c>
      <c r="J232" s="67" t="s">
        <v>250</v>
      </c>
      <c r="K232" s="73">
        <f>F232*I232</f>
        <v>1000</v>
      </c>
    </row>
    <row r="233" spans="2:11" ht="16.5" customHeight="1">
      <c r="B233" s="41"/>
      <c r="C233" s="112" t="s">
        <v>260</v>
      </c>
      <c r="D233" s="50"/>
      <c r="E233" s="66"/>
      <c r="F233" s="167"/>
      <c r="G233" s="188"/>
      <c r="H233" s="137"/>
      <c r="I233" s="204"/>
      <c r="J233" s="219"/>
      <c r="K233" s="73"/>
    </row>
    <row r="234" spans="2:11" ht="16.5" customHeight="1">
      <c r="B234" s="41"/>
      <c r="C234" s="112" t="s">
        <v>261</v>
      </c>
      <c r="D234" s="50"/>
      <c r="E234" s="66"/>
      <c r="F234" s="167"/>
      <c r="G234" s="188"/>
      <c r="H234" s="137"/>
      <c r="I234" s="204"/>
      <c r="J234" s="219"/>
      <c r="K234" s="73"/>
    </row>
    <row r="235" spans="2:11">
      <c r="B235" s="41"/>
      <c r="C235" s="112" t="s">
        <v>262</v>
      </c>
      <c r="D235" s="50"/>
      <c r="E235" s="66"/>
      <c r="F235" s="167"/>
      <c r="G235" s="188"/>
      <c r="H235" s="137"/>
      <c r="I235" s="204"/>
      <c r="J235" s="219"/>
      <c r="K235" s="73"/>
    </row>
    <row r="236" spans="2:11" ht="17" thickBot="1">
      <c r="B236" s="25"/>
      <c r="C236" s="48"/>
      <c r="D236" s="8"/>
      <c r="E236" s="8"/>
      <c r="F236" s="172"/>
      <c r="G236" s="193"/>
      <c r="H236" s="143"/>
      <c r="I236" s="214"/>
      <c r="J236" s="155"/>
      <c r="K236" s="73"/>
    </row>
    <row r="237" spans="2:11" ht="17" thickBot="1">
      <c r="B237" s="96"/>
      <c r="C237" s="97"/>
      <c r="D237" s="98"/>
      <c r="E237" s="98"/>
      <c r="F237" s="173"/>
      <c r="G237" s="194"/>
      <c r="H237" s="144"/>
      <c r="I237" s="144"/>
      <c r="J237" s="99" t="s">
        <v>250</v>
      </c>
      <c r="K237" s="89">
        <v>21000</v>
      </c>
    </row>
    <row r="238" spans="2:11">
      <c r="B238" s="40" t="s">
        <v>236</v>
      </c>
      <c r="C238" s="42" t="s">
        <v>92</v>
      </c>
      <c r="D238" s="47"/>
      <c r="E238" s="47"/>
      <c r="F238" s="167"/>
      <c r="G238" s="188"/>
      <c r="H238" s="137"/>
      <c r="I238" s="204"/>
      <c r="J238" s="152"/>
      <c r="K238" s="71"/>
    </row>
    <row r="239" spans="2:11">
      <c r="B239" s="25"/>
      <c r="C239" s="268"/>
      <c r="D239" s="269"/>
      <c r="E239" s="270"/>
      <c r="F239" s="164"/>
      <c r="G239" s="185"/>
      <c r="H239" s="134"/>
      <c r="I239" s="202"/>
      <c r="J239" s="114"/>
      <c r="K239" s="79"/>
    </row>
    <row r="240" spans="2:11">
      <c r="B240" s="25"/>
      <c r="C240" s="42" t="s">
        <v>149</v>
      </c>
      <c r="D240" s="234"/>
      <c r="F240" s="42">
        <v>1</v>
      </c>
      <c r="G240" s="51" t="s">
        <v>159</v>
      </c>
      <c r="H240" s="123" t="s">
        <v>75</v>
      </c>
      <c r="I240" s="119">
        <v>12000</v>
      </c>
      <c r="J240" s="123" t="s">
        <v>75</v>
      </c>
      <c r="K240" s="73">
        <f>F240*I240</f>
        <v>12000</v>
      </c>
    </row>
    <row r="241" spans="2:14">
      <c r="B241" s="25"/>
      <c r="C241" s="112" t="s">
        <v>150</v>
      </c>
      <c r="D241" s="235"/>
      <c r="E241" s="236"/>
      <c r="F241" s="164"/>
      <c r="G241" s="185"/>
      <c r="H241" s="134"/>
      <c r="I241" s="202"/>
      <c r="J241" s="225"/>
      <c r="K241" s="79"/>
      <c r="M241" s="2"/>
      <c r="N241" s="2"/>
    </row>
    <row r="242" spans="2:14">
      <c r="B242" s="25"/>
      <c r="C242" s="112" t="s">
        <v>151</v>
      </c>
      <c r="D242" s="235"/>
      <c r="E242" s="236"/>
      <c r="F242" s="42"/>
      <c r="G242" s="51"/>
      <c r="H242" s="123"/>
      <c r="I242" s="119"/>
      <c r="J242" s="123"/>
      <c r="K242" s="73"/>
    </row>
    <row r="243" spans="2:14">
      <c r="B243" s="25"/>
      <c r="C243" s="237"/>
      <c r="D243" s="238"/>
      <c r="E243" s="238"/>
      <c r="F243" s="169"/>
      <c r="G243" s="191"/>
      <c r="H243" s="141"/>
      <c r="I243" s="204"/>
      <c r="J243" s="124"/>
      <c r="K243" s="73"/>
    </row>
    <row r="244" spans="2:14">
      <c r="B244" s="25"/>
      <c r="C244" s="42" t="s">
        <v>152</v>
      </c>
      <c r="D244" s="239"/>
      <c r="E244" s="240"/>
      <c r="F244" s="42"/>
      <c r="G244" s="51"/>
      <c r="H244" s="123"/>
      <c r="I244" s="122"/>
      <c r="J244" s="123"/>
      <c r="K244" s="73"/>
    </row>
    <row r="245" spans="2:14">
      <c r="B245" s="25"/>
      <c r="C245" s="112" t="s">
        <v>153</v>
      </c>
      <c r="D245" s="241"/>
      <c r="E245" s="242"/>
      <c r="F245" s="42"/>
      <c r="G245" s="51"/>
      <c r="H245" s="123"/>
      <c r="I245" s="122"/>
      <c r="J245" s="123"/>
      <c r="K245" s="73"/>
    </row>
    <row r="246" spans="2:14">
      <c r="B246" s="25"/>
      <c r="C246" s="112" t="s">
        <v>154</v>
      </c>
      <c r="D246" s="241"/>
      <c r="E246" s="241"/>
      <c r="F246" s="162"/>
      <c r="G246" s="183"/>
      <c r="H246" s="132"/>
      <c r="I246" s="212"/>
      <c r="J246" s="153"/>
      <c r="K246" s="88"/>
    </row>
    <row r="247" spans="2:14">
      <c r="B247" s="25"/>
      <c r="C247" s="112" t="s">
        <v>155</v>
      </c>
      <c r="D247" s="241"/>
      <c r="E247" s="241"/>
      <c r="F247" s="162"/>
      <c r="G247" s="183"/>
      <c r="H247" s="132"/>
      <c r="I247" s="212"/>
      <c r="J247" s="154"/>
      <c r="K247" s="88"/>
    </row>
    <row r="248" spans="2:14">
      <c r="B248" s="25"/>
      <c r="C248" s="112" t="s">
        <v>156</v>
      </c>
      <c r="D248" s="241"/>
      <c r="E248" s="241"/>
      <c r="F248" s="162"/>
      <c r="G248" s="183"/>
      <c r="H248" s="132"/>
      <c r="I248" s="212"/>
      <c r="J248" s="154"/>
      <c r="K248" s="88"/>
    </row>
    <row r="249" spans="2:14">
      <c r="B249" s="25"/>
      <c r="C249" s="287" t="s">
        <v>157</v>
      </c>
      <c r="D249" s="288"/>
      <c r="E249" s="289"/>
      <c r="F249" s="162"/>
      <c r="G249" s="183"/>
      <c r="H249" s="132"/>
      <c r="I249" s="212"/>
      <c r="J249" s="154"/>
      <c r="K249" s="88"/>
    </row>
    <row r="250" spans="2:14">
      <c r="B250" s="25"/>
      <c r="C250" s="287" t="s">
        <v>158</v>
      </c>
      <c r="D250" s="288"/>
      <c r="E250" s="289"/>
      <c r="F250" s="162"/>
      <c r="G250" s="183"/>
      <c r="H250" s="132"/>
      <c r="I250" s="212"/>
      <c r="J250" s="154"/>
      <c r="K250" s="88"/>
    </row>
    <row r="251" spans="2:14">
      <c r="B251" s="25"/>
      <c r="C251" s="43" t="s">
        <v>64</v>
      </c>
      <c r="D251" s="43"/>
      <c r="E251" s="43"/>
      <c r="F251" s="162"/>
      <c r="G251" s="183"/>
      <c r="H251" s="132"/>
      <c r="I251" s="212"/>
      <c r="J251" s="154"/>
      <c r="K251" s="88"/>
    </row>
    <row r="252" spans="2:14">
      <c r="B252" s="25"/>
      <c r="C252" s="43" t="s">
        <v>77</v>
      </c>
      <c r="D252" s="43"/>
      <c r="E252" s="43"/>
      <c r="F252" s="162"/>
      <c r="G252" s="183"/>
      <c r="H252" s="132"/>
      <c r="I252" s="212"/>
      <c r="J252" s="154"/>
      <c r="K252" s="88"/>
    </row>
    <row r="253" spans="2:14">
      <c r="B253" s="25"/>
      <c r="C253" s="43"/>
      <c r="D253" s="27"/>
      <c r="E253" s="27"/>
      <c r="F253" s="162"/>
      <c r="G253" s="183"/>
      <c r="H253" s="132"/>
      <c r="I253" s="212"/>
      <c r="J253" s="154"/>
      <c r="K253" s="88"/>
    </row>
    <row r="254" spans="2:14" ht="17" thickBot="1">
      <c r="B254" s="25"/>
      <c r="C254" s="48"/>
      <c r="D254" s="8"/>
      <c r="E254" s="8"/>
      <c r="F254" s="172"/>
      <c r="G254" s="193"/>
      <c r="H254" s="143"/>
      <c r="I254" s="214"/>
      <c r="J254" s="155"/>
      <c r="K254" s="82"/>
    </row>
    <row r="255" spans="2:14" ht="17" thickBot="1">
      <c r="B255" s="46"/>
      <c r="C255" s="38"/>
      <c r="D255" s="39"/>
      <c r="E255" s="39"/>
      <c r="F255" s="87"/>
      <c r="G255" s="192"/>
      <c r="H255" s="83"/>
      <c r="I255" s="83" t="s">
        <v>22</v>
      </c>
      <c r="J255" s="83" t="s">
        <v>75</v>
      </c>
      <c r="K255" s="84">
        <f>SUM(K240:K252)</f>
        <v>12000</v>
      </c>
    </row>
    <row r="256" spans="2:14" ht="17" thickBot="1">
      <c r="B256" s="96"/>
      <c r="C256" s="97"/>
      <c r="D256" s="98"/>
      <c r="E256" s="98"/>
      <c r="F256" s="173"/>
      <c r="G256" s="194" t="s">
        <v>54</v>
      </c>
      <c r="H256" s="144"/>
      <c r="I256" s="144"/>
      <c r="J256" s="99" t="s">
        <v>75</v>
      </c>
      <c r="K256" s="89">
        <f>K58+K74+K93+K115+K130+K155+K175+K191+K207+K222+K237+K255</f>
        <v>297500</v>
      </c>
    </row>
    <row r="257" spans="2:11">
      <c r="B257" s="2" t="s">
        <v>57</v>
      </c>
    </row>
    <row r="259" spans="2:11" ht="17" thickBot="1">
      <c r="B259" s="62" t="s">
        <v>25</v>
      </c>
      <c r="C259" s="11" t="s">
        <v>26</v>
      </c>
    </row>
    <row r="260" spans="2:11" ht="17" thickBot="1">
      <c r="B260" s="12" t="s">
        <v>11</v>
      </c>
      <c r="C260" s="259" t="s">
        <v>12</v>
      </c>
      <c r="D260" s="260"/>
      <c r="E260" s="260"/>
      <c r="F260" s="174"/>
      <c r="G260" s="195"/>
      <c r="H260" s="145"/>
      <c r="I260" s="145"/>
      <c r="J260" s="293"/>
      <c r="K260" s="263"/>
    </row>
    <row r="261" spans="2:11">
      <c r="B261" s="53">
        <v>1</v>
      </c>
      <c r="C261" s="294" t="s">
        <v>27</v>
      </c>
      <c r="D261" s="295"/>
      <c r="E261" s="295"/>
      <c r="F261" s="295"/>
      <c r="G261" s="295"/>
      <c r="H261" s="295"/>
      <c r="I261" s="295"/>
      <c r="J261" s="295"/>
      <c r="K261" s="296"/>
    </row>
    <row r="262" spans="2:11">
      <c r="B262" s="54">
        <v>2</v>
      </c>
      <c r="C262" s="297" t="s">
        <v>43</v>
      </c>
      <c r="D262" s="298"/>
      <c r="E262" s="298"/>
      <c r="F262" s="298"/>
      <c r="G262" s="298"/>
      <c r="H262" s="298"/>
      <c r="I262" s="298"/>
      <c r="J262" s="298"/>
      <c r="K262" s="299"/>
    </row>
    <row r="263" spans="2:11">
      <c r="B263" s="54">
        <v>3</v>
      </c>
      <c r="C263" s="297" t="s">
        <v>28</v>
      </c>
      <c r="D263" s="298"/>
      <c r="E263" s="298"/>
      <c r="F263" s="298"/>
      <c r="G263" s="298"/>
      <c r="H263" s="298"/>
      <c r="I263" s="298"/>
      <c r="J263" s="298"/>
      <c r="K263" s="299"/>
    </row>
    <row r="264" spans="2:11">
      <c r="B264" s="54">
        <v>4</v>
      </c>
      <c r="C264" s="297" t="s">
        <v>29</v>
      </c>
      <c r="D264" s="298"/>
      <c r="E264" s="298"/>
      <c r="F264" s="298"/>
      <c r="G264" s="298"/>
      <c r="H264" s="298"/>
      <c r="I264" s="298"/>
      <c r="J264" s="298"/>
      <c r="K264" s="299"/>
    </row>
    <row r="265" spans="2:11">
      <c r="B265" s="55">
        <v>5</v>
      </c>
      <c r="C265" s="56" t="s">
        <v>30</v>
      </c>
      <c r="D265" s="57"/>
      <c r="E265" s="57"/>
      <c r="F265" s="175"/>
      <c r="G265" s="196"/>
      <c r="H265" s="146"/>
      <c r="I265" s="215"/>
      <c r="J265" s="90"/>
      <c r="K265" s="91"/>
    </row>
    <row r="266" spans="2:11">
      <c r="B266" s="55">
        <v>6</v>
      </c>
      <c r="C266" s="56" t="s">
        <v>172</v>
      </c>
      <c r="D266" s="57"/>
      <c r="E266" s="57"/>
      <c r="F266" s="175"/>
      <c r="G266" s="196"/>
      <c r="H266" s="146"/>
      <c r="I266" s="215"/>
      <c r="J266" s="90"/>
      <c r="K266" s="91"/>
    </row>
    <row r="267" spans="2:11">
      <c r="B267" s="55">
        <v>7</v>
      </c>
      <c r="C267" s="56" t="s">
        <v>31</v>
      </c>
      <c r="D267" s="57"/>
      <c r="E267" s="57"/>
      <c r="F267" s="175"/>
      <c r="G267" s="196"/>
      <c r="H267" s="146"/>
      <c r="I267" s="215"/>
      <c r="J267" s="90"/>
      <c r="K267" s="91"/>
    </row>
    <row r="268" spans="2:11" ht="17" thickBot="1">
      <c r="B268" s="58">
        <v>8</v>
      </c>
      <c r="C268" s="284" t="s">
        <v>74</v>
      </c>
      <c r="D268" s="285"/>
      <c r="E268" s="285"/>
      <c r="F268" s="285"/>
      <c r="G268" s="285"/>
      <c r="H268" s="285"/>
      <c r="I268" s="285"/>
      <c r="J268" s="285"/>
      <c r="K268" s="286"/>
    </row>
    <row r="269" spans="2:11">
      <c r="B269" s="6"/>
      <c r="C269" s="59"/>
      <c r="D269" s="59"/>
      <c r="E269" s="59"/>
      <c r="F269" s="176"/>
      <c r="G269" s="197"/>
      <c r="H269" s="147"/>
      <c r="I269" s="216"/>
      <c r="J269" s="92"/>
      <c r="K269" s="92"/>
    </row>
    <row r="270" spans="2:11">
      <c r="B270" s="62" t="s">
        <v>32</v>
      </c>
      <c r="C270" s="11" t="s">
        <v>33</v>
      </c>
      <c r="D270" s="11" t="s">
        <v>34</v>
      </c>
    </row>
    <row r="271" spans="2:11">
      <c r="B271" s="62"/>
      <c r="C271" s="2" t="s">
        <v>93</v>
      </c>
      <c r="D271" s="291">
        <v>0.5</v>
      </c>
      <c r="E271" s="265"/>
      <c r="F271" s="100"/>
      <c r="G271" s="100"/>
      <c r="H271" s="292"/>
      <c r="I271" s="292"/>
    </row>
    <row r="272" spans="2:11">
      <c r="C272" s="2" t="s">
        <v>94</v>
      </c>
      <c r="D272" s="291" t="s">
        <v>95</v>
      </c>
      <c r="E272" s="265"/>
      <c r="F272" s="100"/>
      <c r="G272" s="100"/>
      <c r="H272" s="292"/>
      <c r="I272" s="292"/>
    </row>
    <row r="273" spans="2:11">
      <c r="D273" s="291"/>
      <c r="E273" s="265"/>
    </row>
    <row r="274" spans="2:11">
      <c r="D274" s="291"/>
      <c r="E274" s="265"/>
    </row>
    <row r="276" spans="2:11">
      <c r="B276" s="62" t="s">
        <v>35</v>
      </c>
      <c r="C276" s="11" t="s">
        <v>36</v>
      </c>
      <c r="D276" s="275" t="s">
        <v>96</v>
      </c>
      <c r="E276" s="275"/>
    </row>
    <row r="278" spans="2:11">
      <c r="B278" s="62" t="s">
        <v>37</v>
      </c>
      <c r="C278" s="11" t="s">
        <v>38</v>
      </c>
    </row>
    <row r="281" spans="2:11">
      <c r="B281" s="2" t="s">
        <v>39</v>
      </c>
      <c r="F281" s="5" t="s">
        <v>40</v>
      </c>
      <c r="G281" s="5"/>
      <c r="H281" s="6"/>
      <c r="I281" s="68"/>
      <c r="K281" s="31"/>
    </row>
    <row r="282" spans="2:11">
      <c r="B282" s="2" t="s">
        <v>44</v>
      </c>
      <c r="F282" s="7" t="s">
        <v>227</v>
      </c>
      <c r="G282" s="5"/>
      <c r="H282" s="6"/>
      <c r="I282" s="68"/>
      <c r="J282" s="157"/>
      <c r="K282" s="31"/>
    </row>
    <row r="283" spans="2:11">
      <c r="F283" s="5"/>
      <c r="G283" s="5"/>
      <c r="H283" s="6"/>
      <c r="I283" s="68"/>
      <c r="J283" s="157"/>
      <c r="K283" s="5"/>
    </row>
    <row r="284" spans="2:11">
      <c r="F284" s="5"/>
      <c r="G284" s="5"/>
      <c r="H284" s="6"/>
      <c r="I284" s="68"/>
      <c r="J284" s="157"/>
      <c r="K284" s="31"/>
    </row>
    <row r="285" spans="2:11">
      <c r="F285" s="5"/>
      <c r="G285" s="5"/>
      <c r="H285" s="6"/>
      <c r="I285" s="68"/>
      <c r="J285" s="157"/>
      <c r="K285" s="31"/>
    </row>
    <row r="286" spans="2:11" ht="17" thickBot="1">
      <c r="B286" s="60"/>
      <c r="C286" s="60"/>
      <c r="F286" s="61"/>
      <c r="G286" s="61"/>
      <c r="H286" s="125"/>
      <c r="I286" s="93"/>
      <c r="J286" s="177"/>
      <c r="K286" s="184"/>
    </row>
    <row r="287" spans="2:11">
      <c r="B287" s="2" t="s">
        <v>41</v>
      </c>
      <c r="F287" s="5" t="s">
        <v>41</v>
      </c>
      <c r="G287" s="5"/>
      <c r="H287" s="6"/>
      <c r="I287" s="68"/>
      <c r="J287" s="157"/>
      <c r="K287" s="31"/>
    </row>
    <row r="288" spans="2:11">
      <c r="B288" s="2" t="s">
        <v>42</v>
      </c>
      <c r="C288" s="107">
        <v>46295</v>
      </c>
      <c r="F288" s="5" t="s">
        <v>42</v>
      </c>
      <c r="G288" s="106"/>
      <c r="H288" s="126"/>
      <c r="I288" s="107"/>
      <c r="J288" s="178"/>
      <c r="K288" s="31"/>
    </row>
    <row r="289" spans="6:11">
      <c r="F289" s="5"/>
      <c r="G289" s="5"/>
      <c r="H289" s="6"/>
      <c r="I289" s="68"/>
      <c r="J289" s="157"/>
      <c r="K289" s="31"/>
    </row>
  </sheetData>
  <mergeCells count="62">
    <mergeCell ref="D272:E272"/>
    <mergeCell ref="H272:I272"/>
    <mergeCell ref="D273:E273"/>
    <mergeCell ref="D274:E274"/>
    <mergeCell ref="D276:E276"/>
    <mergeCell ref="D271:E271"/>
    <mergeCell ref="H271:I271"/>
    <mergeCell ref="C260:E260"/>
    <mergeCell ref="J260:K260"/>
    <mergeCell ref="C261:K261"/>
    <mergeCell ref="C262:K262"/>
    <mergeCell ref="C263:K263"/>
    <mergeCell ref="C264:K264"/>
    <mergeCell ref="C239:E239"/>
    <mergeCell ref="C178:E178"/>
    <mergeCell ref="C181:E181"/>
    <mergeCell ref="C183:E183"/>
    <mergeCell ref="C268:K268"/>
    <mergeCell ref="C249:E249"/>
    <mergeCell ref="C250:E250"/>
    <mergeCell ref="C209:E209"/>
    <mergeCell ref="C224:E224"/>
    <mergeCell ref="C226:E226"/>
    <mergeCell ref="C232:E232"/>
    <mergeCell ref="C189:E189"/>
    <mergeCell ref="C193:E193"/>
    <mergeCell ref="C194:E194"/>
    <mergeCell ref="F113:G113"/>
    <mergeCell ref="C117:E117"/>
    <mergeCell ref="C119:E119"/>
    <mergeCell ref="C177:E177"/>
    <mergeCell ref="C132:E132"/>
    <mergeCell ref="C135:E135"/>
    <mergeCell ref="C146:E146"/>
    <mergeCell ref="F152:G152"/>
    <mergeCell ref="C153:E153"/>
    <mergeCell ref="C157:E157"/>
    <mergeCell ref="C158:E158"/>
    <mergeCell ref="C161:E161"/>
    <mergeCell ref="C171:E171"/>
    <mergeCell ref="C173:E173"/>
    <mergeCell ref="C62:E62"/>
    <mergeCell ref="C121:E121"/>
    <mergeCell ref="C65:E65"/>
    <mergeCell ref="C76:E76"/>
    <mergeCell ref="C77:E77"/>
    <mergeCell ref="C95:E95"/>
    <mergeCell ref="C96:E96"/>
    <mergeCell ref="C99:E99"/>
    <mergeCell ref="C101:E101"/>
    <mergeCell ref="C103:E103"/>
    <mergeCell ref="C64:E64"/>
    <mergeCell ref="C17:E17"/>
    <mergeCell ref="F53:G53"/>
    <mergeCell ref="F54:G54"/>
    <mergeCell ref="F56:G56"/>
    <mergeCell ref="C61:E61"/>
    <mergeCell ref="C13:K13"/>
    <mergeCell ref="C15:E15"/>
    <mergeCell ref="F15:G15"/>
    <mergeCell ref="H15:I15"/>
    <mergeCell ref="J15:K15"/>
  </mergeCells>
  <hyperlinks>
    <hyperlink ref="C10" r:id="rId1" tooltip="mailto:lawrence.li@mattex.com.hk" display="mailto:lawrence.li@mattex.com.hk" xr:uid="{7EA6B4C2-7C36-084A-A120-6EAE29377F26}"/>
  </hyperlinks>
  <pageMargins left="0.23622047244094488" right="0.23622047244094488" top="0.74803040244969377" bottom="1" header="0.31496062992125984" footer="0.31496062992125984"/>
  <pageSetup paperSize="9" scale="35" fitToHeight="3" orientation="portrait" r:id="rId2"/>
  <headerFooter>
    <oddFooter>&amp;CPage &amp;P of &amp;N</oddFooter>
  </headerFooter>
  <rowBreaks count="1" manualBreakCount="1">
    <brk id="114" max="10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isBIM</dc:creator>
  <cp:lastModifiedBy>CHEN Ying Yan (210570636)</cp:lastModifiedBy>
  <cp:lastPrinted>2026-03-29T14:25:52Z</cp:lastPrinted>
  <dcterms:created xsi:type="dcterms:W3CDTF">2023-03-13T02:43:00Z</dcterms:created>
  <dcterms:modified xsi:type="dcterms:W3CDTF">2026-10-09T08:58:54Z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3219B0676E7A4CF79A136CD6C9A723EF_13</vt:lpwstr>
  </property>
  <property fmtid="{D5CDD505-2E9C-101B-9397-08002B2CF9AE}" pid="3" name="KSOProductBuildVer">
    <vt:lpwstr>2052-12.1.0.18276</vt:lpwstr>
  </property>
</Properties>
</file>