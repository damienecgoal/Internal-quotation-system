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keenrichenterpriselimited-my.sharepoint.com/personal/steven_lui_keenrich4s_com/Documents/Desktop/Keenrich/Customer/SFK/"/>
    </mc:Choice>
  </mc:AlternateContent>
  <xr:revisionPtr revIDLastSave="1" documentId="8_{3CAA1341-E257-4227-8799-0EE0B40513E3}" xr6:coauthVersionLast="47" xr6:coauthVersionMax="47" xr10:uidLastSave="{E6DA9F7F-6CF6-45F5-8723-6929B7B57A49}"/>
  <bookViews>
    <workbookView xWindow="-120" yWindow="-120" windowWidth="29040" windowHeight="15720" tabRatio="674" xr2:uid="{00000000-000D-0000-FFFF-FFFF00000000}"/>
  </bookViews>
  <sheets>
    <sheet name="Quotation" sheetId="22" r:id="rId1"/>
    <sheet name="工作表1" sheetId="23" r:id="rId2"/>
  </sheets>
  <definedNames>
    <definedName name="_xlnm.Print_Area" localSheetId="0">Quotation!$A$1:$K$330</definedName>
    <definedName name="_xlnm.Print_Titles" localSheetId="0">Quotation!$1:$13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97" i="22" l="1"/>
  <c r="K296" i="22"/>
  <c r="K216" i="22"/>
  <c r="K213" i="22"/>
  <c r="K206" i="22"/>
  <c r="K196" i="22"/>
  <c r="K188" i="22"/>
  <c r="K186" i="22"/>
  <c r="K200" i="22" s="1"/>
  <c r="K171" i="22"/>
  <c r="K168" i="22"/>
  <c r="K165" i="22"/>
  <c r="K164" i="22"/>
  <c r="K163" i="22"/>
  <c r="K115" i="22"/>
  <c r="K52" i="22"/>
  <c r="K50" i="22"/>
  <c r="K123" i="22"/>
  <c r="K162" i="22"/>
  <c r="K161" i="22"/>
  <c r="K146" i="22"/>
  <c r="K280" i="22"/>
  <c r="K211" i="22"/>
  <c r="K210" i="22"/>
  <c r="K209" i="22"/>
  <c r="K212" i="22"/>
  <c r="K243" i="22" l="1"/>
  <c r="K242" i="22"/>
  <c r="K241" i="22"/>
  <c r="K240" i="22"/>
  <c r="K239" i="22"/>
  <c r="K236" i="22"/>
  <c r="K55" i="22" l="1"/>
  <c r="K74" i="22"/>
  <c r="K85" i="22" s="1"/>
  <c r="K81" i="22"/>
  <c r="K91" i="22"/>
  <c r="K101" i="22"/>
  <c r="K113" i="22"/>
  <c r="K131" i="22" s="1"/>
  <c r="K135" i="22"/>
  <c r="K137" i="22"/>
  <c r="K157" i="22"/>
  <c r="K180" i="22" s="1"/>
  <c r="K218" i="22"/>
  <c r="K228" i="22" s="1"/>
  <c r="K234" i="22"/>
  <c r="K250" i="22" s="1"/>
  <c r="K253" i="22"/>
  <c r="K268" i="22" s="1"/>
  <c r="K292" i="22"/>
  <c r="K289" i="22"/>
  <c r="K287" i="22"/>
  <c r="K277" i="22"/>
  <c r="K274" i="22"/>
  <c r="K272" i="22"/>
  <c r="K283" i="22" s="1"/>
  <c r="K295" i="22" l="1"/>
  <c r="K107" i="22"/>
  <c r="C284" i="22"/>
  <c r="C269" i="22"/>
  <c r="C251" i="22"/>
  <c r="C229" i="22"/>
  <c r="C201" i="22"/>
  <c r="C181" i="22"/>
  <c r="K148" i="22"/>
  <c r="K152" i="22" s="1"/>
  <c r="C153" i="22"/>
  <c r="K139" i="22"/>
  <c r="C86" i="22" l="1"/>
  <c r="C69" i="22"/>
  <c r="C39" i="22" l="1"/>
  <c r="C108" i="22"/>
  <c r="C132" i="22"/>
  <c r="F323" i="22"/>
  <c r="K45" i="22"/>
  <c r="K67" i="22" s="1"/>
  <c r="C329" i="22" l="1"/>
  <c r="A13" i="23" l="1"/>
  <c r="O21" i="22" l="1"/>
  <c r="M20" i="22"/>
</calcChain>
</file>

<file path=xl/sharedStrings.xml><?xml version="1.0" encoding="utf-8"?>
<sst xmlns="http://schemas.openxmlformats.org/spreadsheetml/2006/main" count="515" uniqueCount="284">
  <si>
    <t>Quotation</t>
  </si>
  <si>
    <t>Date</t>
  </si>
  <si>
    <t>:</t>
  </si>
  <si>
    <t>Quotation No.</t>
  </si>
  <si>
    <t>Customer No.</t>
  </si>
  <si>
    <t>Your Ref.</t>
  </si>
  <si>
    <t>Revision</t>
  </si>
  <si>
    <t>Attn:</t>
  </si>
  <si>
    <t>Tel:</t>
  </si>
  <si>
    <t>E-mail:</t>
  </si>
  <si>
    <t>Re:</t>
  </si>
  <si>
    <t>Item</t>
  </si>
  <si>
    <t>Descriptions</t>
  </si>
  <si>
    <t>Amount</t>
  </si>
  <si>
    <t>Tender requirement and background:</t>
  </si>
  <si>
    <t>Contract period :</t>
  </si>
  <si>
    <t>months</t>
  </si>
  <si>
    <t>years</t>
  </si>
  <si>
    <t>days=</t>
  </si>
  <si>
    <t>Available to integrate with the following modules:</t>
  </si>
  <si>
    <t>A</t>
  </si>
  <si>
    <t>SMART SITE PLATFORM</t>
  </si>
  <si>
    <t>Dashboard available</t>
  </si>
  <si>
    <t>User access right to different data sets shall be set individually</t>
  </si>
  <si>
    <t>Sub-total:</t>
  </si>
  <si>
    <t>MODULES INTEGRATED IN THE CMP</t>
  </si>
  <si>
    <t>set(s)</t>
  </si>
  <si>
    <t>2.</t>
  </si>
  <si>
    <t>General assumptions</t>
  </si>
  <si>
    <t>Power and internet infrastructure are provided by the Contractor</t>
  </si>
  <si>
    <t>Covers the first year of the original factory warranty, extended warranties may be subject to additional charges</t>
  </si>
  <si>
    <t>Special hardware installation and / or civil works (such as drilling) generated from this system shall be performed by the Contractor</t>
  </si>
  <si>
    <t>The Contractor shall provide access for installation</t>
  </si>
  <si>
    <t>All hardware is immediately repairable or replaceable within 7 days after delivery, extra time and cost for immediate repairment may occur after 7 days of delivery.</t>
  </si>
  <si>
    <t>3.</t>
  </si>
  <si>
    <t>Payment Terms</t>
  </si>
  <si>
    <t>Fee Schedule</t>
  </si>
  <si>
    <t>4.</t>
  </si>
  <si>
    <t>Validation Period</t>
  </si>
  <si>
    <t>5.</t>
  </si>
  <si>
    <t>All currency in HKD</t>
  </si>
  <si>
    <t>For and on Behalf of</t>
  </si>
  <si>
    <t>Accepted by</t>
  </si>
  <si>
    <t>Authorized Signature</t>
  </si>
  <si>
    <t>Date:</t>
  </si>
  <si>
    <t xml:space="preserve">Re-allocation service not included </t>
    <phoneticPr fontId="20" type="noConversion"/>
  </si>
  <si>
    <t>Keen Rich Enterprise Limited</t>
    <phoneticPr fontId="20" type="noConversion"/>
  </si>
  <si>
    <t>To:</t>
    <phoneticPr fontId="20" type="noConversion"/>
  </si>
  <si>
    <t>Address:</t>
    <phoneticPr fontId="20" type="noConversion"/>
  </si>
  <si>
    <t>Quotation</t>
    <phoneticPr fontId="20" type="noConversion"/>
  </si>
  <si>
    <t>1.</t>
    <phoneticPr fontId="20" type="noConversion"/>
  </si>
  <si>
    <t>B</t>
    <phoneticPr fontId="20" type="noConversion"/>
  </si>
  <si>
    <t>C</t>
    <phoneticPr fontId="20" type="noConversion"/>
  </si>
  <si>
    <t>Keen Rich 4S Solution</t>
    <phoneticPr fontId="20" type="noConversion"/>
  </si>
  <si>
    <t>time</t>
    <phoneticPr fontId="20" type="noConversion"/>
  </si>
  <si>
    <t>Per man-day</t>
    <phoneticPr fontId="20" type="noConversion"/>
  </si>
  <si>
    <t>TOTAL CONTRACT VALUE</t>
    <phoneticPr fontId="20" type="noConversion"/>
  </si>
  <si>
    <t xml:space="preserve">Login user Setup </t>
    <phoneticPr fontId="20" type="noConversion"/>
  </si>
  <si>
    <t>set(s)</t>
    <phoneticPr fontId="20" type="noConversion"/>
  </si>
  <si>
    <t>*Monthly Fee is for Indication ONLY, The Amount is payable on Delivery and non-refundable</t>
    <phoneticPr fontId="20" type="noConversion"/>
  </si>
  <si>
    <t xml:space="preserve">time </t>
    <phoneticPr fontId="20" type="noConversion"/>
  </si>
  <si>
    <t>Work in confined spaces</t>
    <phoneticPr fontId="20" type="noConversion"/>
  </si>
  <si>
    <t>Work with electrical hazard</t>
    <phoneticPr fontId="20" type="noConversion"/>
  </si>
  <si>
    <t>Work in lift shaft</t>
    <phoneticPr fontId="20" type="noConversion"/>
  </si>
  <si>
    <t>Mobile crane, heavy machinery and piling rig operating or moving on the Site</t>
    <phoneticPr fontId="20" type="noConversion"/>
  </si>
  <si>
    <t>Hot work</t>
    <phoneticPr fontId="20" type="noConversion"/>
  </si>
  <si>
    <t>Use of ladder for work above ground for work purpose</t>
    <phoneticPr fontId="20" type="noConversion"/>
  </si>
  <si>
    <t>One-time Module Setup fee</t>
    <phoneticPr fontId="20" type="noConversion"/>
  </si>
  <si>
    <t>Access control items</t>
  </si>
  <si>
    <t>Electrical distribution board cabinet</t>
  </si>
  <si>
    <t>Floor opening equal to or larger than 500mm x 500mm;</t>
    <phoneticPr fontId="20" type="noConversion"/>
  </si>
  <si>
    <t>Entrance to confined space area</t>
  </si>
  <si>
    <t>Lift shaft opening</t>
  </si>
  <si>
    <t>Other applicable scenarios or areas</t>
  </si>
  <si>
    <t>A centralized management platform use to monitor all IoT systems and devices</t>
    <phoneticPr fontId="20" type="noConversion"/>
  </si>
  <si>
    <t>System use to facilitate on-line real-time application, issuance and tracking of permit-to-work to move and operate for high risk activities</t>
    <phoneticPr fontId="20" type="noConversion"/>
  </si>
  <si>
    <t xml:space="preserve">Monthly Subscription Fee include the license fee, and basic online remote support, extra support with man-power would charge daily upon customer's request. </t>
    <phoneticPr fontId="20" type="noConversion"/>
  </si>
  <si>
    <t>$</t>
    <phoneticPr fontId="20" type="noConversion"/>
  </si>
  <si>
    <t>SSSS Implementation Plan - 1st time submission &amp; 4S Labelling Service</t>
    <phoneticPr fontId="20" type="noConversion"/>
  </si>
  <si>
    <t>lifting operations by tower cranes, mobile cranes, crawlercranes, or cranes alike or lifting operation by mechanical
means</t>
    <phoneticPr fontId="20" type="noConversion"/>
  </si>
  <si>
    <t xml:space="preserve">Unit Rate </t>
    <phoneticPr fontId="20" type="noConversion"/>
  </si>
  <si>
    <t>unit</t>
    <phoneticPr fontId="20" type="noConversion"/>
  </si>
  <si>
    <t>Rate only</t>
    <phoneticPr fontId="20" type="noConversion"/>
  </si>
  <si>
    <t>Quantity</t>
    <phoneticPr fontId="20" type="noConversion"/>
  </si>
  <si>
    <t>Covers Basic Forms</t>
    <phoneticPr fontId="20" type="noConversion"/>
  </si>
  <si>
    <t>D</t>
  </si>
  <si>
    <t>E</t>
  </si>
  <si>
    <t>F</t>
  </si>
  <si>
    <t>G</t>
  </si>
  <si>
    <t>H</t>
  </si>
  <si>
    <t>Safety Monitoring System using Artificial Intelligence</t>
  </si>
  <si>
    <t>20001</t>
  </si>
  <si>
    <t>SFK Construction Holdings Limited</t>
  </si>
  <si>
    <t>7/F, High Fashion Centre, 1-11 Kwai Hei Street, Kwai Chung, New Territories, Hong Kong</t>
  </si>
  <si>
    <t>Establish an Intelligent Management Platform (IMP) for integrating construction data including BIM, site progress data, Apps data and IoT sensor</t>
  </si>
  <si>
    <t>Centralized Management Platform (CMP)</t>
    <phoneticPr fontId="20" type="noConversion"/>
  </si>
  <si>
    <t>Digitalized permit-to-work system (ePTW)</t>
    <phoneticPr fontId="20" type="noConversion"/>
  </si>
  <si>
    <t>Electronic lock and key system (E-Lock)</t>
    <phoneticPr fontId="20" type="noConversion"/>
  </si>
  <si>
    <t>Unsafe Acts / Dangerous situation alert - Mobile plant</t>
  </si>
  <si>
    <t>Unsafe Acts / Dangerous situation alert - Tower crane</t>
  </si>
  <si>
    <t>Smart monitoring devices for workers and frontline site personnel - watch</t>
  </si>
  <si>
    <t xml:space="preserve">Confined Spaces Monitoring System </t>
    <phoneticPr fontId="20" type="noConversion"/>
  </si>
  <si>
    <t xml:space="preserve">Safety Training with VR Technology </t>
    <phoneticPr fontId="20" type="noConversion"/>
  </si>
  <si>
    <t>Height Limited Sensor</t>
    <phoneticPr fontId="20" type="noConversion"/>
  </si>
  <si>
    <t>Authenticating authorized operation of plant and equipment</t>
    <phoneticPr fontId="20" type="noConversion"/>
  </si>
  <si>
    <t>I</t>
  </si>
  <si>
    <t>J</t>
  </si>
  <si>
    <t>K</t>
  </si>
  <si>
    <t>L</t>
  </si>
  <si>
    <t xml:space="preserve">Deposit </t>
  </si>
  <si>
    <t>Within 30 Days after delivery</t>
  </si>
  <si>
    <t>50% (Work in Progress)</t>
  </si>
  <si>
    <t>Kenneth Wong</t>
  </si>
  <si>
    <t>3 month(s)</t>
  </si>
  <si>
    <t>month(s)</t>
  </si>
  <si>
    <t>A1</t>
  </si>
  <si>
    <t>One-time platform setup fee</t>
  </si>
  <si>
    <t>A2</t>
  </si>
  <si>
    <t>A3</t>
  </si>
  <si>
    <t xml:space="preserve">System maintanance </t>
  </si>
  <si>
    <t>Software version updates</t>
  </si>
  <si>
    <t>Access and use of mobile app</t>
  </si>
  <si>
    <t>Real-time on-line QR code tracking of all site plants, powered tools and ladders up-to-date status</t>
  </si>
  <si>
    <t>System initialization and cloud configuration</t>
  </si>
  <si>
    <t>Customized user manual and training materials</t>
  </si>
  <si>
    <t xml:space="preserve"> Interactive dashboard deployment  </t>
  </si>
  <si>
    <t xml:space="preserve">Cloud storage allocation for the first year </t>
  </si>
  <si>
    <t xml:space="preserve"> User account setup and data-field configuration</t>
  </si>
  <si>
    <t>B</t>
  </si>
  <si>
    <t>B1</t>
  </si>
  <si>
    <t>B2</t>
  </si>
  <si>
    <t>B3</t>
  </si>
  <si>
    <t>$</t>
  </si>
  <si>
    <t>C</t>
  </si>
  <si>
    <t>Digitalized Tracking System</t>
  </si>
  <si>
    <t>C1</t>
  </si>
  <si>
    <t>C2</t>
  </si>
  <si>
    <t>C3</t>
  </si>
  <si>
    <t>form(s)</t>
  </si>
  <si>
    <t>Rate only</t>
  </si>
  <si>
    <t>C4</t>
  </si>
  <si>
    <t>form(s)/year</t>
  </si>
  <si>
    <t>Ranger Smart Lock (Included Seal Card &amp; Unseal Card)</t>
  </si>
  <si>
    <t>D1</t>
  </si>
  <si>
    <t>D2</t>
  </si>
  <si>
    <t>D4</t>
  </si>
  <si>
    <t>Indoor connection</t>
  </si>
  <si>
    <t>Indoor LoRa Gateway</t>
  </si>
  <si>
    <t>Router</t>
  </si>
  <si>
    <t>D4a</t>
  </si>
  <si>
    <t>D4b</t>
  </si>
  <si>
    <t>D4c</t>
  </si>
  <si>
    <t>quantity of D4a-D4c will be finalize after site visit</t>
  </si>
  <si>
    <t>location(s)</t>
  </si>
  <si>
    <t>SIM card for contract period</t>
  </si>
  <si>
    <t>An automated warning system on tower cranes to alert tower crane operator and any site personnel encroaching upon the tower crane lifting zone</t>
  </si>
  <si>
    <t>Hardware</t>
  </si>
  <si>
    <t>AI Camera / AI CCTV / IP69K Waterproof / 1080P</t>
    <phoneticPr fontId="20" type="noConversion"/>
  </si>
  <si>
    <t xml:space="preserve">AI Control Box </t>
    <phoneticPr fontId="20" type="noConversion"/>
  </si>
  <si>
    <t>Display (7" IPS)</t>
    <phoneticPr fontId="20" type="noConversion"/>
  </si>
  <si>
    <t xml:space="preserve">User Manual </t>
    <phoneticPr fontId="20" type="noConversion"/>
  </si>
  <si>
    <t>E1</t>
  </si>
  <si>
    <t>E2</t>
  </si>
  <si>
    <t>E3</t>
  </si>
  <si>
    <t>E4</t>
  </si>
  <si>
    <t>E5</t>
  </si>
  <si>
    <t>Automated warning system on all mobile cranes operating on site to alert plant operator</t>
  </si>
  <si>
    <t>F1</t>
  </si>
  <si>
    <t>F2</t>
  </si>
  <si>
    <t>F3</t>
  </si>
  <si>
    <t>F4</t>
  </si>
  <si>
    <t>Real-time monitoring of workers’ safety and location with CMP integration for centralized reporting.</t>
  </si>
  <si>
    <t>4G Smart Watches</t>
  </si>
  <si>
    <t>Capable for outdoor location tracking</t>
  </si>
  <si>
    <t>Real time detection of standstill</t>
  </si>
  <si>
    <t>Real time monitoring  of body temperature</t>
  </si>
  <si>
    <t xml:space="preserve">Real time monitoring  of heart rate / Pressure </t>
    <phoneticPr fontId="20" type="noConversion"/>
  </si>
  <si>
    <t>G1</t>
  </si>
  <si>
    <t>G2</t>
  </si>
  <si>
    <t>pc</t>
  </si>
  <si>
    <t>G3</t>
  </si>
  <si>
    <t>G4</t>
  </si>
  <si>
    <t>Unit</t>
  </si>
  <si>
    <t>Uses AI cameras and cloud analytics to detect unsafe acts in real time and send instant alerts via the CMP dashboard and speaker system.</t>
  </si>
  <si>
    <t>Ranger AI-Powered Safety Monitoring System</t>
  </si>
  <si>
    <t>H1</t>
  </si>
  <si>
    <t>H2</t>
  </si>
  <si>
    <t>H3</t>
  </si>
  <si>
    <t>H4</t>
  </si>
  <si>
    <t>H5</t>
  </si>
  <si>
    <t>H5a</t>
  </si>
  <si>
    <t>H5b</t>
  </si>
  <si>
    <t>Monitor the locations defined as confined spaces on the site</t>
  </si>
  <si>
    <t>I1</t>
  </si>
  <si>
    <t>Confined Spaces Monitoring System</t>
    <phoneticPr fontId="20" type="noConversion"/>
  </si>
  <si>
    <t>I2</t>
  </si>
  <si>
    <t>I3</t>
  </si>
  <si>
    <t>Hardware &amp; Software included:</t>
    <phoneticPr fontId="20" type="noConversion"/>
  </si>
  <si>
    <t>Main control device</t>
    <phoneticPr fontId="20" type="noConversion"/>
  </si>
  <si>
    <t>CIC Training Modules</t>
    <phoneticPr fontId="20" type="noConversion"/>
  </si>
  <si>
    <t>Training Module included:</t>
    <phoneticPr fontId="20" type="noConversion"/>
  </si>
  <si>
    <t xml:space="preserve">Heavy lifting operation		</t>
    <phoneticPr fontId="20" type="noConversion"/>
  </si>
  <si>
    <t xml:space="preserve">Heavy machinery operation	</t>
    <phoneticPr fontId="20" type="noConversion"/>
  </si>
  <si>
    <t xml:space="preserve">Working in confined space	</t>
    <phoneticPr fontId="20" type="noConversion"/>
  </si>
  <si>
    <t>Use of suspended working platform</t>
    <phoneticPr fontId="20" type="noConversion"/>
  </si>
  <si>
    <t>Erection / alteration / dismantle of bamboo scaffolds and/or truss-out bamboo scaffold</t>
    <phoneticPr fontId="20" type="noConversion"/>
  </si>
  <si>
    <t>Electrical and other works with potential electrical hazards or chance of coming into contact with live electrical parts.</t>
    <phoneticPr fontId="20" type="noConversion"/>
  </si>
  <si>
    <t xml:space="preserve">set </t>
  </si>
  <si>
    <t>Real-time monitoring of mobile plant exceeding height limitd of road</t>
  </si>
  <si>
    <t>Prohibit unauthorised duplication of operation</t>
  </si>
  <si>
    <t>L1</t>
  </si>
  <si>
    <t>face recognition system</t>
    <phoneticPr fontId="20" type="noConversion"/>
  </si>
  <si>
    <t>L2</t>
  </si>
  <si>
    <t>L3</t>
  </si>
  <si>
    <t>K1</t>
  </si>
  <si>
    <t>Radar AI anti-collision alarm system</t>
    <phoneticPr fontId="20" type="noConversion"/>
  </si>
  <si>
    <t>K2</t>
  </si>
  <si>
    <t>K3</t>
  </si>
  <si>
    <t>kennethwong@sfk.com.hk</t>
  </si>
  <si>
    <t>KR-30032026SFK-011</t>
  </si>
  <si>
    <t>Hazardous areas access control by electronic lock and key system</t>
  </si>
  <si>
    <t>Alarm with light and sound</t>
  </si>
  <si>
    <t>SIM card(s)</t>
  </si>
  <si>
    <t>F5</t>
  </si>
  <si>
    <t xml:space="preserve">Network signal enhancment </t>
  </si>
  <si>
    <t>F5a</t>
  </si>
  <si>
    <t>F5b</t>
  </si>
  <si>
    <t>quantity of F5a-F5b will be finalize after site visit</t>
  </si>
  <si>
    <t>quantity of H5a-H5b will be finalize after site visit</t>
  </si>
  <si>
    <t>Maintenance fee</t>
  </si>
  <si>
    <t>Tablet for access to all data of confined space monitoring system</t>
  </si>
  <si>
    <t>Body cam with alarm function</t>
  </si>
  <si>
    <t>AI Analyzer Modem (Max for 4 cameras)</t>
  </si>
  <si>
    <t>Gas detector (two levels of alarm systems) O2, CH4, CO, CO2,H2S, PM2.5 and temp</t>
  </si>
  <si>
    <t>Personal gas detector (two levels of alarm systems) O2, CO, H2S, CH4</t>
  </si>
  <si>
    <t>Smart Helmet (Optional)</t>
  </si>
  <si>
    <t>4K-Camera</t>
  </si>
  <si>
    <t>Recording Devices (Max for 4 cameras)</t>
  </si>
  <si>
    <t>Central Controller</t>
  </si>
  <si>
    <t>Installation Fee</t>
  </si>
  <si>
    <t>time</t>
  </si>
  <si>
    <t>Hardware installation</t>
  </si>
  <si>
    <t>K4</t>
  </si>
  <si>
    <t>Removal &amp; reinstalment fee for mobile plant</t>
  </si>
  <si>
    <t>Mobile plant system (With installation fee)</t>
  </si>
  <si>
    <t xml:space="preserve">External Alarm </t>
  </si>
  <si>
    <t>AI Analyzer Modem ( 1 modem supports for 6 cameras)</t>
  </si>
  <si>
    <t>Alarm ( 3nos for 1 tower crane)</t>
  </si>
  <si>
    <t>UWB base station (set in the 1 Loading and 1 unloading area)</t>
  </si>
  <si>
    <t>UWB sensor (set in the Tower crane hook)</t>
  </si>
  <si>
    <t>Installation fee including relocation</t>
  </si>
  <si>
    <t>Monthly report on implementation of SSSS components</t>
  </si>
  <si>
    <t>A4</t>
  </si>
  <si>
    <t>A5</t>
  </si>
  <si>
    <t>IT service support (phone support)</t>
  </si>
  <si>
    <t>On-site Support  (Optional)</t>
  </si>
  <si>
    <t>standard excel format</t>
  </si>
  <si>
    <t xml:space="preserve">1TB Cloud Storage </t>
    <phoneticPr fontId="20" type="noConversion"/>
  </si>
  <si>
    <t>QR Code Printer (Optional)</t>
    <phoneticPr fontId="20" type="noConversion"/>
  </si>
  <si>
    <t>Customized Form service</t>
    <phoneticPr fontId="20" type="noConversion"/>
  </si>
  <si>
    <t xml:space="preserve">Maintenance fee* </t>
    <phoneticPr fontId="20" type="noConversion"/>
  </si>
  <si>
    <t>Maintenance fee*</t>
    <phoneticPr fontId="20" type="noConversion"/>
  </si>
  <si>
    <t xml:space="preserve">Main Contractor Provide Standing Pole / Electricity </t>
    <phoneticPr fontId="20" type="noConversion"/>
  </si>
  <si>
    <t>Maintenance fee*   (License fee &amp; Cloud storage)</t>
  </si>
  <si>
    <t>Maintenance fee*   for customized form</t>
  </si>
  <si>
    <t xml:space="preserve">Maintenance fee*   </t>
  </si>
  <si>
    <t xml:space="preserve">*Maintenance fee*   include remote support and software consultancy service, not include on-site service </t>
  </si>
  <si>
    <t>A6</t>
    <phoneticPr fontId="20" type="noConversion"/>
  </si>
  <si>
    <t>Extra Storage</t>
    <phoneticPr fontId="20" type="noConversion"/>
  </si>
  <si>
    <t>(4-Hour)</t>
    <phoneticPr fontId="20" type="noConversion"/>
  </si>
  <si>
    <t xml:space="preserve">Per 1TB Per Month </t>
    <phoneticPr fontId="20" type="noConversion"/>
  </si>
  <si>
    <t xml:space="preserve">4G SIM card for mobile plants (10 SIM) </t>
    <phoneticPr fontId="20" type="noConversion"/>
  </si>
  <si>
    <t xml:space="preserve">AI Camera (2 Camera for each Tower) </t>
    <phoneticPr fontId="20" type="noConversion"/>
  </si>
  <si>
    <t>Include chargers (Type C)</t>
    <phoneticPr fontId="20" type="noConversion"/>
  </si>
  <si>
    <t>HKHA Contract No.20240200 Desgin and Construction of Public Housing Development at Cheung Muk Tau Sites 1 and 2, Ma On Shan</t>
  </si>
  <si>
    <t>Ranger Centralized Management Platform (CITF PA Product code: PA25-153)</t>
  </si>
  <si>
    <t>Ranger Digitalised Tracking System (CITF PA Product code: PA26-024)</t>
  </si>
  <si>
    <t>Ranger Permit To Work System  (CITF PA Product code: PA25-154)</t>
  </si>
  <si>
    <t>Ranger Electronic Lock and Key System (CITF PA Product code: PA25-155)</t>
  </si>
  <si>
    <t>Ranger Smart Watch  (CITF PA Product code: PA25-156)</t>
  </si>
  <si>
    <t>Ranger AI-Powered Safety Monitoring System (CITF PA Product code: PA26-004)</t>
  </si>
  <si>
    <t>Ranger Confined Space Monitoring System (CITF PA Product code: PA26-025)</t>
  </si>
  <si>
    <t>Discount: 80% off of first 2 sets confined Spaces Monitoring System</t>
  </si>
  <si>
    <t>Special Discount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</si>
</sst>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(* #,##0.00_);_(* \(#,##0.00\);_(* &quot;-&quot;??_);_(@_)"/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[DBNum2][$RMB]General;[Red][DBNum2][$RMB]General"/>
    <numFmt numFmtId="167" formatCode="&quot;- &quot;@"/>
    <numFmt numFmtId="168" formatCode="@&quot;)&quot;"/>
    <numFmt numFmtId="169" formatCode="0_ "/>
    <numFmt numFmtId="170" formatCode="_-* #,##0_-;\-* #,##0_-;_-* &quot;-&quot;??_-;_-@_-"/>
    <numFmt numFmtId="171" formatCode="d/m/yyyy;@"/>
    <numFmt numFmtId="172" formatCode="&quot;       - &quot;@"/>
    <numFmt numFmtId="173" formatCode="&quot;   - &quot;@"/>
  </numFmts>
  <fonts count="23">
    <font>
      <sz val="11"/>
      <color theme="1"/>
      <name val="Calibri"/>
      <charset val="134"/>
      <scheme val="minor"/>
    </font>
    <font>
      <sz val="12"/>
      <color rgb="FFFF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2"/>
      <color theme="0"/>
      <name val="Arial"/>
      <family val="2"/>
    </font>
    <font>
      <b/>
      <sz val="12"/>
      <color theme="1"/>
      <name val="Arial"/>
      <family val="2"/>
    </font>
    <font>
      <b/>
      <u/>
      <sz val="12"/>
      <color theme="1"/>
      <name val="Arial"/>
      <family val="2"/>
    </font>
    <font>
      <b/>
      <i/>
      <sz val="12"/>
      <color theme="1"/>
      <name val="Arial"/>
      <family val="2"/>
    </font>
    <font>
      <b/>
      <sz val="12"/>
      <name val="Arial"/>
      <family val="2"/>
    </font>
    <font>
      <b/>
      <i/>
      <sz val="12"/>
      <name val="Arial"/>
      <family val="2"/>
    </font>
    <font>
      <b/>
      <sz val="16"/>
      <color theme="1"/>
      <name val="Arial"/>
      <family val="2"/>
    </font>
    <font>
      <b/>
      <sz val="12"/>
      <color rgb="FF000000"/>
      <name val="Arial"/>
      <family val="2"/>
    </font>
    <font>
      <b/>
      <sz val="26"/>
      <color theme="1"/>
      <name val="Arial"/>
      <family val="2"/>
    </font>
    <font>
      <b/>
      <i/>
      <sz val="12"/>
      <color theme="0"/>
      <name val="Arial"/>
      <family val="2"/>
    </font>
    <font>
      <sz val="11"/>
      <color rgb="FFFF0000"/>
      <name val="宋体"/>
      <family val="3"/>
      <charset val="136"/>
    </font>
    <font>
      <sz val="11"/>
      <color theme="1"/>
      <name val="Arial"/>
      <family val="2"/>
    </font>
    <font>
      <b/>
      <sz val="12"/>
      <color theme="0"/>
      <name val="Arial"/>
      <family val="2"/>
    </font>
    <font>
      <sz val="11"/>
      <color theme="1"/>
      <name val="Calibri"/>
      <family val="4"/>
      <charset val="134"/>
      <scheme val="minor"/>
    </font>
    <font>
      <u/>
      <sz val="11"/>
      <color rgb="FF0000FF"/>
      <name val="Calibri"/>
      <family val="4"/>
      <charset val="134"/>
      <scheme val="minor"/>
    </font>
    <font>
      <sz val="10"/>
      <name val="Arial"/>
      <family val="2"/>
    </font>
    <font>
      <sz val="9"/>
      <name val="Calibri"/>
      <family val="3"/>
      <charset val="136"/>
      <scheme val="minor"/>
    </font>
    <font>
      <sz val="12"/>
      <color rgb="FF000000"/>
      <name val="Arial"/>
      <family val="2"/>
    </font>
    <font>
      <b/>
      <sz val="12"/>
      <color rgb="FFFF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7" tint="0.79985961485641044"/>
        <bgColor indexed="64"/>
      </patternFill>
    </fill>
    <fill>
      <patternFill patternType="solid">
        <fgColor theme="0"/>
        <bgColor rgb="FF000000"/>
      </patternFill>
    </fill>
  </fills>
  <borders count="38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rgb="FF000000"/>
      </right>
      <top/>
      <bottom/>
      <diagonal/>
    </border>
  </borders>
  <cellStyleXfs count="12">
    <xf numFmtId="0" fontId="0" fillId="0" borderId="0"/>
    <xf numFmtId="165" fontId="17" fillId="0" borderId="0" applyFont="0" applyFill="0" applyBorder="0" applyAlignment="0" applyProtection="0"/>
    <xf numFmtId="165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18" fillId="0" borderId="0" applyNumberFormat="0" applyFill="0" applyBorder="0" applyAlignment="0" applyProtection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165" fontId="17" fillId="0" borderId="0" applyFont="0" applyFill="0" applyBorder="0" applyAlignment="0" applyProtection="0"/>
    <xf numFmtId="165" fontId="17" fillId="0" borderId="0" applyFont="0" applyFill="0" applyBorder="0" applyAlignment="0" applyProtection="0"/>
    <xf numFmtId="166" fontId="17" fillId="0" borderId="0">
      <alignment vertical="center"/>
    </xf>
    <xf numFmtId="0" fontId="19" fillId="0" borderId="0"/>
    <xf numFmtId="0" fontId="17" fillId="0" borderId="0">
      <alignment vertical="center"/>
    </xf>
  </cellStyleXfs>
  <cellXfs count="303">
    <xf numFmtId="0" fontId="0" fillId="0" borderId="0" xfId="0"/>
    <xf numFmtId="0" fontId="0" fillId="2" borderId="0" xfId="0" applyFill="1"/>
    <xf numFmtId="0" fontId="2" fillId="2" borderId="0" xfId="0" applyFont="1" applyFill="1" applyAlignment="1">
      <alignment vertical="center"/>
    </xf>
    <xf numFmtId="0" fontId="2" fillId="2" borderId="0" xfId="0" applyFont="1" applyFill="1" applyAlignment="1">
      <alignment vertical="center" wrapText="1"/>
    </xf>
    <xf numFmtId="0" fontId="2" fillId="2" borderId="0" xfId="0" applyFont="1" applyFill="1" applyAlignment="1">
      <alignment horizontal="right" vertical="center"/>
    </xf>
    <xf numFmtId="0" fontId="2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vertical="center"/>
    </xf>
    <xf numFmtId="0" fontId="2" fillId="2" borderId="0" xfId="0" applyFont="1" applyFill="1" applyAlignment="1">
      <alignment horizontal="left" vertical="top" wrapText="1"/>
    </xf>
    <xf numFmtId="0" fontId="2" fillId="2" borderId="0" xfId="0" applyFont="1" applyFill="1" applyAlignment="1">
      <alignment horizontal="left" vertical="center" wrapText="1"/>
    </xf>
    <xf numFmtId="0" fontId="2" fillId="2" borderId="1" xfId="0" applyFont="1" applyFill="1" applyBorder="1" applyAlignment="1">
      <alignment vertical="center"/>
    </xf>
    <xf numFmtId="0" fontId="6" fillId="2" borderId="0" xfId="0" applyFont="1" applyFill="1" applyAlignment="1">
      <alignment vertical="center"/>
    </xf>
    <xf numFmtId="0" fontId="7" fillId="3" borderId="2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vertical="center"/>
    </xf>
    <xf numFmtId="0" fontId="5" fillId="2" borderId="7" xfId="0" applyFont="1" applyFill="1" applyBorder="1" applyAlignment="1">
      <alignment vertical="center"/>
    </xf>
    <xf numFmtId="0" fontId="2" fillId="2" borderId="8" xfId="0" applyFont="1" applyFill="1" applyBorder="1" applyAlignment="1">
      <alignment vertical="center"/>
    </xf>
    <xf numFmtId="0" fontId="7" fillId="2" borderId="9" xfId="0" applyFont="1" applyFill="1" applyBorder="1" applyAlignment="1">
      <alignment vertical="center"/>
    </xf>
    <xf numFmtId="0" fontId="2" fillId="2" borderId="10" xfId="0" applyFont="1" applyFill="1" applyBorder="1" applyAlignment="1">
      <alignment horizontal="left" vertical="center" wrapText="1"/>
    </xf>
    <xf numFmtId="0" fontId="8" fillId="2" borderId="10" xfId="0" applyFont="1" applyFill="1" applyBorder="1" applyAlignment="1">
      <alignment horizontal="left" vertical="center" wrapText="1"/>
    </xf>
    <xf numFmtId="0" fontId="8" fillId="2" borderId="11" xfId="0" applyFont="1" applyFill="1" applyBorder="1" applyAlignment="1">
      <alignment horizontal="left" vertical="center" wrapText="1"/>
    </xf>
    <xf numFmtId="0" fontId="3" fillId="2" borderId="12" xfId="0" applyFont="1" applyFill="1" applyBorder="1" applyAlignment="1">
      <alignment horizontal="left" vertical="center" wrapText="1"/>
    </xf>
    <xf numFmtId="0" fontId="5" fillId="2" borderId="6" xfId="0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vertical="center"/>
    </xf>
    <xf numFmtId="167" fontId="2" fillId="2" borderId="8" xfId="0" applyNumberFormat="1" applyFont="1" applyFill="1" applyBorder="1" applyAlignment="1">
      <alignment horizontal="left" vertical="center"/>
    </xf>
    <xf numFmtId="0" fontId="2" fillId="2" borderId="8" xfId="0" applyFont="1" applyFill="1" applyBorder="1" applyAlignment="1">
      <alignment vertical="center" wrapText="1"/>
    </xf>
    <xf numFmtId="0" fontId="5" fillId="2" borderId="9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vertical="center"/>
    </xf>
    <xf numFmtId="167" fontId="2" fillId="2" borderId="0" xfId="0" applyNumberFormat="1" applyFont="1" applyFill="1" applyAlignment="1">
      <alignment horizontal="left" vertical="center"/>
    </xf>
    <xf numFmtId="49" fontId="5" fillId="2" borderId="10" xfId="0" applyNumberFormat="1" applyFont="1" applyFill="1" applyBorder="1" applyAlignment="1">
      <alignment horizontal="left" vertical="center"/>
    </xf>
    <xf numFmtId="168" fontId="2" fillId="2" borderId="9" xfId="0" applyNumberFormat="1" applyFont="1" applyFill="1" applyBorder="1" applyAlignment="1">
      <alignment horizontal="right" vertical="center"/>
    </xf>
    <xf numFmtId="0" fontId="2" fillId="2" borderId="10" xfId="0" applyFont="1" applyFill="1" applyBorder="1" applyAlignment="1">
      <alignment vertical="center"/>
    </xf>
    <xf numFmtId="165" fontId="2" fillId="2" borderId="0" xfId="1" applyFont="1" applyFill="1" applyAlignment="1">
      <alignment horizontal="left" vertical="center"/>
    </xf>
    <xf numFmtId="167" fontId="2" fillId="2" borderId="0" xfId="0" applyNumberFormat="1" applyFont="1" applyFill="1" applyAlignment="1">
      <alignment horizontal="left" vertical="top"/>
    </xf>
    <xf numFmtId="0" fontId="5" fillId="2" borderId="14" xfId="0" applyFont="1" applyFill="1" applyBorder="1" applyAlignment="1">
      <alignment horizontal="left" vertical="center"/>
    </xf>
    <xf numFmtId="167" fontId="2" fillId="2" borderId="11" xfId="0" applyNumberFormat="1" applyFont="1" applyFill="1" applyBorder="1" applyAlignment="1">
      <alignment horizontal="left" vertical="center"/>
    </xf>
    <xf numFmtId="165" fontId="2" fillId="2" borderId="12" xfId="1" applyFont="1" applyFill="1" applyBorder="1" applyAlignment="1">
      <alignment vertical="center"/>
    </xf>
    <xf numFmtId="167" fontId="2" fillId="2" borderId="12" xfId="0" applyNumberFormat="1" applyFont="1" applyFill="1" applyBorder="1" applyAlignment="1">
      <alignment horizontal="left" vertical="center"/>
    </xf>
    <xf numFmtId="0" fontId="10" fillId="4" borderId="16" xfId="0" applyFont="1" applyFill="1" applyBorder="1" applyAlignment="1">
      <alignment vertical="center"/>
    </xf>
    <xf numFmtId="0" fontId="2" fillId="4" borderId="4" xfId="0" applyFont="1" applyFill="1" applyBorder="1" applyAlignment="1">
      <alignment vertical="center"/>
    </xf>
    <xf numFmtId="0" fontId="2" fillId="4" borderId="4" xfId="0" applyFont="1" applyFill="1" applyBorder="1" applyAlignment="1">
      <alignment vertical="center" wrapText="1"/>
    </xf>
    <xf numFmtId="0" fontId="5" fillId="2" borderId="6" xfId="0" applyFont="1" applyFill="1" applyBorder="1" applyAlignment="1">
      <alignment horizontal="left" vertical="center"/>
    </xf>
    <xf numFmtId="0" fontId="5" fillId="2" borderId="9" xfId="0" applyFont="1" applyFill="1" applyBorder="1" applyAlignment="1">
      <alignment horizontal="left" vertical="center"/>
    </xf>
    <xf numFmtId="0" fontId="5" fillId="2" borderId="10" xfId="0" applyFont="1" applyFill="1" applyBorder="1" applyAlignment="1">
      <alignment vertical="center"/>
    </xf>
    <xf numFmtId="167" fontId="2" fillId="2" borderId="10" xfId="0" applyNumberFormat="1" applyFont="1" applyFill="1" applyBorder="1" applyAlignment="1">
      <alignment horizontal="left" vertical="center"/>
    </xf>
    <xf numFmtId="0" fontId="2" fillId="6" borderId="0" xfId="0" applyFont="1" applyFill="1" applyAlignment="1">
      <alignment horizontal="center" vertical="center"/>
    </xf>
    <xf numFmtId="0" fontId="2" fillId="0" borderId="0" xfId="0" applyFont="1" applyAlignment="1">
      <alignment vertical="center"/>
    </xf>
    <xf numFmtId="169" fontId="2" fillId="6" borderId="0" xfId="0" applyNumberFormat="1" applyFont="1" applyFill="1" applyAlignment="1">
      <alignment vertical="center"/>
    </xf>
    <xf numFmtId="0" fontId="14" fillId="2" borderId="0" xfId="0" applyFont="1" applyFill="1" applyAlignment="1">
      <alignment horizontal="left" vertical="top"/>
    </xf>
    <xf numFmtId="0" fontId="15" fillId="2" borderId="0" xfId="0" applyFont="1" applyFill="1" applyAlignment="1">
      <alignment horizontal="center" vertical="top"/>
    </xf>
    <xf numFmtId="0" fontId="2" fillId="4" borderId="16" xfId="0" applyFont="1" applyFill="1" applyBorder="1" applyAlignment="1">
      <alignment vertical="center"/>
    </xf>
    <xf numFmtId="0" fontId="0" fillId="2" borderId="8" xfId="0" applyFill="1" applyBorder="1"/>
    <xf numFmtId="0" fontId="2" fillId="2" borderId="10" xfId="0" applyFont="1" applyFill="1" applyBorder="1" applyAlignment="1">
      <alignment horizontal="left" vertical="top" wrapText="1"/>
    </xf>
    <xf numFmtId="0" fontId="5" fillId="2" borderId="10" xfId="0" applyFont="1" applyFill="1" applyBorder="1" applyAlignment="1">
      <alignment horizontal="left" vertical="top" wrapText="1"/>
    </xf>
    <xf numFmtId="0" fontId="5" fillId="2" borderId="0" xfId="0" applyFont="1" applyFill="1" applyAlignment="1">
      <alignment horizontal="left" vertical="top" wrapText="1"/>
    </xf>
    <xf numFmtId="0" fontId="8" fillId="2" borderId="0" xfId="0" applyFont="1" applyFill="1" applyAlignment="1">
      <alignment horizontal="left" vertical="center"/>
    </xf>
    <xf numFmtId="170" fontId="2" fillId="2" borderId="0" xfId="0" applyNumberFormat="1" applyFont="1" applyFill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2" fillId="2" borderId="24" xfId="0" applyFont="1" applyFill="1" applyBorder="1" applyAlignment="1">
      <alignment horizontal="center" vertical="center"/>
    </xf>
    <xf numFmtId="0" fontId="2" fillId="2" borderId="27" xfId="0" applyFont="1" applyFill="1" applyBorder="1" applyAlignment="1">
      <alignment horizontal="center" vertical="center"/>
    </xf>
    <xf numFmtId="0" fontId="2" fillId="2" borderId="28" xfId="1" applyNumberFormat="1" applyFont="1" applyFill="1" applyBorder="1" applyAlignment="1">
      <alignment horizontal="left" vertical="center"/>
    </xf>
    <xf numFmtId="0" fontId="2" fillId="2" borderId="29" xfId="1" applyNumberFormat="1" applyFont="1" applyFill="1" applyBorder="1" applyAlignment="1">
      <alignment horizontal="left" vertical="center" wrapText="1"/>
    </xf>
    <xf numFmtId="0" fontId="2" fillId="2" borderId="30" xfId="0" applyFont="1" applyFill="1" applyBorder="1" applyAlignment="1">
      <alignment horizontal="center" vertical="center"/>
    </xf>
    <xf numFmtId="0" fontId="2" fillId="2" borderId="0" xfId="1" applyNumberFormat="1" applyFont="1" applyFill="1" applyBorder="1" applyAlignment="1">
      <alignment horizontal="left" vertical="center" wrapText="1"/>
    </xf>
    <xf numFmtId="0" fontId="2" fillId="2" borderId="12" xfId="0" applyFont="1" applyFill="1" applyBorder="1" applyAlignment="1">
      <alignment vertical="center"/>
    </xf>
    <xf numFmtId="0" fontId="2" fillId="2" borderId="12" xfId="0" applyFont="1" applyFill="1" applyBorder="1" applyAlignment="1">
      <alignment horizontal="left" vertical="center"/>
    </xf>
    <xf numFmtId="0" fontId="5" fillId="2" borderId="0" xfId="0" quotePrefix="1" applyFont="1" applyFill="1" applyAlignment="1">
      <alignment vertical="center"/>
    </xf>
    <xf numFmtId="0" fontId="2" fillId="2" borderId="0" xfId="0" applyFont="1" applyFill="1" applyAlignment="1">
      <alignment horizontal="right" vertical="center" wrapText="1"/>
    </xf>
    <xf numFmtId="0" fontId="5" fillId="2" borderId="14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left" vertical="center" wrapText="1"/>
    </xf>
    <xf numFmtId="0" fontId="5" fillId="2" borderId="13" xfId="0" applyFont="1" applyFill="1" applyBorder="1" applyAlignment="1">
      <alignment horizontal="left" vertical="top" wrapText="1"/>
    </xf>
    <xf numFmtId="0" fontId="11" fillId="5" borderId="10" xfId="0" applyFont="1" applyFill="1" applyBorder="1" applyAlignment="1">
      <alignment horizontal="center" vertical="center"/>
    </xf>
    <xf numFmtId="165" fontId="2" fillId="2" borderId="0" xfId="1" applyFont="1" applyFill="1" applyAlignment="1">
      <alignment horizontal="center" vertical="center"/>
    </xf>
    <xf numFmtId="165" fontId="12" fillId="2" borderId="0" xfId="1" applyFont="1" applyFill="1" applyAlignment="1">
      <alignment horizontal="center" vertical="center"/>
    </xf>
    <xf numFmtId="165" fontId="7" fillId="2" borderId="8" xfId="1" applyFont="1" applyFill="1" applyBorder="1" applyAlignment="1">
      <alignment horizontal="center" vertical="center"/>
    </xf>
    <xf numFmtId="165" fontId="5" fillId="2" borderId="18" xfId="1" applyFont="1" applyFill="1" applyBorder="1" applyAlignment="1">
      <alignment horizontal="center" vertical="center"/>
    </xf>
    <xf numFmtId="165" fontId="7" fillId="2" borderId="0" xfId="1" applyFont="1" applyFill="1" applyAlignment="1">
      <alignment horizontal="center" vertical="center"/>
    </xf>
    <xf numFmtId="165" fontId="5" fillId="2" borderId="19" xfId="1" applyFont="1" applyFill="1" applyBorder="1" applyAlignment="1">
      <alignment horizontal="center" vertical="center"/>
    </xf>
    <xf numFmtId="165" fontId="9" fillId="2" borderId="0" xfId="1" applyFont="1" applyFill="1" applyAlignment="1">
      <alignment horizontal="center" vertical="center"/>
    </xf>
    <xf numFmtId="165" fontId="8" fillId="2" borderId="19" xfId="1" applyFont="1" applyFill="1" applyBorder="1" applyAlignment="1">
      <alignment horizontal="center" vertical="center"/>
    </xf>
    <xf numFmtId="165" fontId="9" fillId="2" borderId="12" xfId="1" applyFont="1" applyFill="1" applyBorder="1" applyAlignment="1">
      <alignment horizontal="center" vertical="center"/>
    </xf>
    <xf numFmtId="165" fontId="8" fillId="2" borderId="20" xfId="1" applyFont="1" applyFill="1" applyBorder="1" applyAlignment="1">
      <alignment horizontal="center" vertical="center"/>
    </xf>
    <xf numFmtId="165" fontId="2" fillId="2" borderId="18" xfId="1" applyFont="1" applyFill="1" applyBorder="1" applyAlignment="1">
      <alignment horizontal="center" vertical="center"/>
    </xf>
    <xf numFmtId="165" fontId="2" fillId="2" borderId="19" xfId="1" applyFont="1" applyFill="1" applyBorder="1" applyAlignment="1">
      <alignment horizontal="center" vertical="center"/>
    </xf>
    <xf numFmtId="165" fontId="4" fillId="7" borderId="19" xfId="1" applyFont="1" applyFill="1" applyBorder="1" applyAlignment="1">
      <alignment horizontal="center" vertical="center"/>
    </xf>
    <xf numFmtId="165" fontId="3" fillId="2" borderId="19" xfId="1" applyFont="1" applyFill="1" applyBorder="1" applyAlignment="1">
      <alignment horizontal="center" vertical="center"/>
    </xf>
    <xf numFmtId="165" fontId="5" fillId="2" borderId="20" xfId="1" applyFont="1" applyFill="1" applyBorder="1" applyAlignment="1">
      <alignment horizontal="center" vertical="center"/>
    </xf>
    <xf numFmtId="165" fontId="5" fillId="4" borderId="4" xfId="1" applyFont="1" applyFill="1" applyBorder="1" applyAlignment="1">
      <alignment horizontal="center" vertical="center"/>
    </xf>
    <xf numFmtId="165" fontId="5" fillId="4" borderId="17" xfId="1" applyFont="1" applyFill="1" applyBorder="1" applyAlignment="1">
      <alignment horizontal="center" vertical="center"/>
    </xf>
    <xf numFmtId="165" fontId="4" fillId="2" borderId="19" xfId="1" applyFont="1" applyFill="1" applyBorder="1" applyAlignment="1">
      <alignment horizontal="center" vertical="center"/>
    </xf>
    <xf numFmtId="165" fontId="8" fillId="2" borderId="13" xfId="1" applyFont="1" applyFill="1" applyBorder="1" applyAlignment="1">
      <alignment horizontal="center" vertical="center"/>
    </xf>
    <xf numFmtId="165" fontId="5" fillId="4" borderId="4" xfId="1" applyFont="1" applyFill="1" applyBorder="1" applyAlignment="1">
      <alignment horizontal="right" vertical="center"/>
    </xf>
    <xf numFmtId="165" fontId="2" fillId="2" borderId="19" xfId="1" applyFont="1" applyFill="1" applyBorder="1" applyAlignment="1">
      <alignment horizontal="center" vertical="top"/>
    </xf>
    <xf numFmtId="165" fontId="5" fillId="2" borderId="17" xfId="1" applyFont="1" applyFill="1" applyBorder="1" applyAlignment="1">
      <alignment horizontal="center" vertical="center"/>
    </xf>
    <xf numFmtId="165" fontId="2" fillId="2" borderId="29" xfId="1" applyFont="1" applyFill="1" applyBorder="1" applyAlignment="1">
      <alignment horizontal="center" vertical="center" wrapText="1"/>
    </xf>
    <xf numFmtId="165" fontId="2" fillId="2" borderId="35" xfId="1" applyFont="1" applyFill="1" applyBorder="1" applyAlignment="1">
      <alignment horizontal="center" vertical="center" wrapText="1"/>
    </xf>
    <xf numFmtId="165" fontId="2" fillId="2" borderId="0" xfId="1" applyFont="1" applyFill="1" applyBorder="1" applyAlignment="1">
      <alignment horizontal="center" vertical="center" wrapText="1"/>
    </xf>
    <xf numFmtId="165" fontId="2" fillId="2" borderId="12" xfId="1" applyFont="1" applyFill="1" applyBorder="1" applyAlignment="1">
      <alignment horizontal="center" vertical="center"/>
    </xf>
    <xf numFmtId="165" fontId="5" fillId="4" borderId="12" xfId="1" applyFont="1" applyFill="1" applyBorder="1" applyAlignment="1">
      <alignment horizontal="center" vertical="center"/>
    </xf>
    <xf numFmtId="165" fontId="5" fillId="4" borderId="20" xfId="1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vertical="center"/>
    </xf>
    <xf numFmtId="0" fontId="2" fillId="2" borderId="4" xfId="0" applyFont="1" applyFill="1" applyBorder="1" applyAlignment="1">
      <alignment vertical="center"/>
    </xf>
    <xf numFmtId="0" fontId="2" fillId="2" borderId="4" xfId="0" applyFont="1" applyFill="1" applyBorder="1" applyAlignment="1">
      <alignment vertical="center" wrapText="1"/>
    </xf>
    <xf numFmtId="165" fontId="5" fillId="2" borderId="4" xfId="1" applyFont="1" applyFill="1" applyBorder="1" applyAlignment="1">
      <alignment horizontal="center" vertical="center"/>
    </xf>
    <xf numFmtId="43" fontId="2" fillId="2" borderId="0" xfId="0" applyNumberFormat="1" applyFont="1" applyFill="1" applyAlignment="1">
      <alignment horizontal="center" vertical="center"/>
    </xf>
    <xf numFmtId="49" fontId="3" fillId="2" borderId="0" xfId="0" applyNumberFormat="1" applyFont="1" applyFill="1" applyAlignment="1">
      <alignment horizontal="left" vertical="center"/>
    </xf>
    <xf numFmtId="49" fontId="1" fillId="2" borderId="0" xfId="0" applyNumberFormat="1" applyFont="1" applyFill="1" applyAlignment="1">
      <alignment horizontal="left" vertical="center"/>
    </xf>
    <xf numFmtId="49" fontId="5" fillId="2" borderId="11" xfId="0" applyNumberFormat="1" applyFont="1" applyFill="1" applyBorder="1" applyAlignment="1">
      <alignment horizontal="left" vertical="center"/>
    </xf>
    <xf numFmtId="0" fontId="5" fillId="2" borderId="10" xfId="0" applyFont="1" applyFill="1" applyBorder="1" applyAlignment="1">
      <alignment horizontal="right" vertical="center"/>
    </xf>
    <xf numFmtId="0" fontId="5" fillId="2" borderId="0" xfId="0" applyFont="1" applyFill="1" applyAlignment="1">
      <alignment horizontal="right" vertical="center" wrapText="1"/>
    </xf>
    <xf numFmtId="14" fontId="2" fillId="2" borderId="0" xfId="0" applyNumberFormat="1" applyFont="1" applyFill="1" applyAlignment="1">
      <alignment horizontal="left" vertical="center"/>
    </xf>
    <xf numFmtId="171" fontId="2" fillId="2" borderId="0" xfId="1" applyNumberFormat="1" applyFont="1" applyFill="1" applyAlignment="1">
      <alignment horizontal="left" vertical="center"/>
    </xf>
    <xf numFmtId="49" fontId="2" fillId="2" borderId="0" xfId="1" applyNumberFormat="1" applyFont="1" applyFill="1" applyAlignment="1">
      <alignment horizontal="left" vertical="center"/>
    </xf>
    <xf numFmtId="0" fontId="2" fillId="2" borderId="13" xfId="0" applyFont="1" applyFill="1" applyBorder="1" applyAlignment="1">
      <alignment horizontal="left" vertical="top" wrapText="1"/>
    </xf>
    <xf numFmtId="172" fontId="2" fillId="2" borderId="10" xfId="0" applyNumberFormat="1" applyFont="1" applyFill="1" applyBorder="1" applyAlignment="1">
      <alignment horizontal="left" vertical="center"/>
    </xf>
    <xf numFmtId="168" fontId="5" fillId="2" borderId="9" xfId="0" applyNumberFormat="1" applyFont="1" applyFill="1" applyBorder="1" applyAlignment="1">
      <alignment horizontal="left" vertical="center"/>
    </xf>
    <xf numFmtId="167" fontId="21" fillId="5" borderId="10" xfId="0" applyNumberFormat="1" applyFont="1" applyFill="1" applyBorder="1" applyAlignment="1">
      <alignment horizontal="left" vertical="center"/>
    </xf>
    <xf numFmtId="165" fontId="3" fillId="2" borderId="10" xfId="1" applyFont="1" applyFill="1" applyBorder="1" applyAlignment="1">
      <alignment horizontal="center" vertical="center"/>
    </xf>
    <xf numFmtId="165" fontId="2" fillId="2" borderId="10" xfId="1" applyFont="1" applyFill="1" applyBorder="1" applyAlignment="1">
      <alignment horizontal="center" vertical="center"/>
    </xf>
    <xf numFmtId="165" fontId="4" fillId="2" borderId="10" xfId="1" applyFont="1" applyFill="1" applyBorder="1" applyAlignment="1">
      <alignment horizontal="center" vertical="center"/>
    </xf>
    <xf numFmtId="165" fontId="7" fillId="2" borderId="10" xfId="1" applyFont="1" applyFill="1" applyBorder="1" applyAlignment="1">
      <alignment horizontal="center" vertical="center"/>
    </xf>
    <xf numFmtId="165" fontId="7" fillId="2" borderId="11" xfId="1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165" fontId="11" fillId="5" borderId="0" xfId="1" applyFont="1" applyFill="1" applyBorder="1" applyAlignment="1">
      <alignment horizontal="right" vertical="center"/>
    </xf>
    <xf numFmtId="165" fontId="5" fillId="2" borderId="10" xfId="1" applyFont="1" applyFill="1" applyBorder="1" applyAlignment="1">
      <alignment horizontal="center" vertical="center"/>
    </xf>
    <xf numFmtId="165" fontId="8" fillId="5" borderId="0" xfId="1" applyFont="1" applyFill="1" applyBorder="1" applyAlignment="1">
      <alignment horizontal="center" vertical="center"/>
    </xf>
    <xf numFmtId="165" fontId="8" fillId="2" borderId="0" xfId="1" applyFont="1" applyFill="1" applyBorder="1" applyAlignment="1">
      <alignment horizontal="center" vertical="center"/>
    </xf>
    <xf numFmtId="165" fontId="8" fillId="2" borderId="10" xfId="1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165" fontId="8" fillId="5" borderId="0" xfId="1" applyFont="1" applyFill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14" fontId="2" fillId="2" borderId="0" xfId="0" applyNumberFormat="1" applyFont="1" applyFill="1" applyAlignment="1">
      <alignment horizontal="center" vertical="center"/>
    </xf>
    <xf numFmtId="165" fontId="2" fillId="2" borderId="0" xfId="1" applyFont="1" applyFill="1" applyAlignment="1">
      <alignment vertical="center"/>
    </xf>
    <xf numFmtId="165" fontId="7" fillId="2" borderId="8" xfId="1" applyFont="1" applyFill="1" applyBorder="1" applyAlignment="1">
      <alignment vertical="center"/>
    </xf>
    <xf numFmtId="165" fontId="7" fillId="2" borderId="0" xfId="1" applyFont="1" applyFill="1" applyAlignment="1">
      <alignment vertical="center"/>
    </xf>
    <xf numFmtId="165" fontId="9" fillId="2" borderId="0" xfId="1" applyFont="1" applyFill="1" applyAlignment="1">
      <alignment vertical="center"/>
    </xf>
    <xf numFmtId="165" fontId="9" fillId="2" borderId="12" xfId="1" applyFont="1" applyFill="1" applyBorder="1" applyAlignment="1">
      <alignment vertical="center"/>
    </xf>
    <xf numFmtId="165" fontId="3" fillId="2" borderId="10" xfId="1" applyFont="1" applyFill="1" applyBorder="1" applyAlignment="1">
      <alignment vertical="center"/>
    </xf>
    <xf numFmtId="165" fontId="2" fillId="2" borderId="10" xfId="1" applyFont="1" applyFill="1" applyBorder="1" applyAlignment="1">
      <alignment vertical="center"/>
    </xf>
    <xf numFmtId="165" fontId="4" fillId="2" borderId="10" xfId="1" applyFont="1" applyFill="1" applyBorder="1" applyAlignment="1">
      <alignment vertical="center"/>
    </xf>
    <xf numFmtId="165" fontId="7" fillId="2" borderId="11" xfId="1" applyFont="1" applyFill="1" applyBorder="1" applyAlignment="1">
      <alignment vertical="center"/>
    </xf>
    <xf numFmtId="165" fontId="2" fillId="4" borderId="4" xfId="1" applyFont="1" applyFill="1" applyBorder="1" applyAlignment="1">
      <alignment vertical="center"/>
    </xf>
    <xf numFmtId="165" fontId="5" fillId="2" borderId="10" xfId="1" applyFont="1" applyFill="1" applyBorder="1" applyAlignment="1">
      <alignment vertical="center"/>
    </xf>
    <xf numFmtId="165" fontId="7" fillId="2" borderId="10" xfId="1" applyFont="1" applyFill="1" applyBorder="1" applyAlignment="1">
      <alignment vertical="center"/>
    </xf>
    <xf numFmtId="165" fontId="11" fillId="5" borderId="10" xfId="1" applyFont="1" applyFill="1" applyBorder="1" applyAlignment="1">
      <alignment vertical="center"/>
    </xf>
    <xf numFmtId="165" fontId="8" fillId="5" borderId="10" xfId="1" applyFont="1" applyFill="1" applyBorder="1" applyAlignment="1">
      <alignment vertical="center"/>
    </xf>
    <xf numFmtId="165" fontId="8" fillId="2" borderId="10" xfId="1" applyFont="1" applyFill="1" applyBorder="1" applyAlignment="1">
      <alignment vertical="center"/>
    </xf>
    <xf numFmtId="165" fontId="5" fillId="2" borderId="11" xfId="1" applyFont="1" applyFill="1" applyBorder="1" applyAlignment="1">
      <alignment vertical="center"/>
    </xf>
    <xf numFmtId="165" fontId="4" fillId="2" borderId="11" xfId="1" applyFont="1" applyFill="1" applyBorder="1" applyAlignment="1">
      <alignment vertical="center"/>
    </xf>
    <xf numFmtId="165" fontId="5" fillId="2" borderId="4" xfId="1" applyFont="1" applyFill="1" applyBorder="1" applyAlignment="1">
      <alignment vertical="center"/>
    </xf>
    <xf numFmtId="165" fontId="7" fillId="3" borderId="4" xfId="1" applyFont="1" applyFill="1" applyBorder="1" applyAlignment="1">
      <alignment vertical="center"/>
    </xf>
    <xf numFmtId="165" fontId="2" fillId="2" borderId="29" xfId="1" applyFont="1" applyFill="1" applyBorder="1" applyAlignment="1">
      <alignment vertical="center" wrapText="1"/>
    </xf>
    <xf numFmtId="165" fontId="2" fillId="2" borderId="0" xfId="1" applyFont="1" applyFill="1" applyBorder="1" applyAlignment="1">
      <alignment vertical="center" wrapText="1"/>
    </xf>
    <xf numFmtId="165" fontId="2" fillId="2" borderId="0" xfId="1" quotePrefix="1" applyFont="1" applyFill="1" applyAlignment="1">
      <alignment horizontal="center" vertical="center"/>
    </xf>
    <xf numFmtId="165" fontId="2" fillId="2" borderId="7" xfId="1" applyFont="1" applyFill="1" applyBorder="1" applyAlignment="1">
      <alignment horizontal="center" vertical="center"/>
    </xf>
    <xf numFmtId="165" fontId="13" fillId="2" borderId="10" xfId="1" applyFont="1" applyFill="1" applyBorder="1" applyAlignment="1">
      <alignment horizontal="center" vertical="center"/>
    </xf>
    <xf numFmtId="165" fontId="8" fillId="5" borderId="12" xfId="1" applyFont="1" applyFill="1" applyBorder="1" applyAlignment="1">
      <alignment horizontal="center" vertical="center"/>
    </xf>
    <xf numFmtId="165" fontId="5" fillId="2" borderId="7" xfId="1" applyFont="1" applyFill="1" applyBorder="1" applyAlignment="1">
      <alignment horizontal="center" vertical="center"/>
    </xf>
    <xf numFmtId="165" fontId="2" fillId="2" borderId="10" xfId="1" applyFont="1" applyFill="1" applyBorder="1" applyAlignment="1">
      <alignment horizontal="center" vertical="top"/>
    </xf>
    <xf numFmtId="165" fontId="2" fillId="2" borderId="0" xfId="1" applyFont="1" applyFill="1" applyBorder="1" applyAlignment="1">
      <alignment horizontal="center" vertical="top"/>
    </xf>
    <xf numFmtId="165" fontId="2" fillId="2" borderId="11" xfId="1" applyFont="1" applyFill="1" applyBorder="1" applyAlignment="1">
      <alignment horizontal="center" vertical="center"/>
    </xf>
    <xf numFmtId="165" fontId="4" fillId="7" borderId="10" xfId="1" applyFont="1" applyFill="1" applyBorder="1" applyAlignment="1">
      <alignment horizontal="center" vertical="center"/>
    </xf>
    <xf numFmtId="165" fontId="2" fillId="2" borderId="0" xfId="1" applyFont="1" applyFill="1" applyAlignment="1">
      <alignment horizontal="right" vertical="center"/>
    </xf>
    <xf numFmtId="165" fontId="7" fillId="2" borderId="8" xfId="1" applyFont="1" applyFill="1" applyBorder="1" applyAlignment="1">
      <alignment horizontal="right" vertical="center"/>
    </xf>
    <xf numFmtId="165" fontId="7" fillId="2" borderId="0" xfId="1" applyFont="1" applyFill="1" applyAlignment="1">
      <alignment horizontal="right" vertical="center"/>
    </xf>
    <xf numFmtId="165" fontId="9" fillId="2" borderId="0" xfId="1" applyFont="1" applyFill="1" applyAlignment="1">
      <alignment horizontal="right" vertical="center"/>
    </xf>
    <xf numFmtId="165" fontId="9" fillId="2" borderId="12" xfId="1" applyFont="1" applyFill="1" applyBorder="1" applyAlignment="1">
      <alignment horizontal="right" vertical="center"/>
    </xf>
    <xf numFmtId="165" fontId="3" fillId="2" borderId="10" xfId="1" applyFont="1" applyFill="1" applyBorder="1" applyAlignment="1">
      <alignment horizontal="right" vertical="center"/>
    </xf>
    <xf numFmtId="165" fontId="2" fillId="2" borderId="10" xfId="1" applyFont="1" applyFill="1" applyBorder="1" applyAlignment="1">
      <alignment horizontal="right" vertical="center"/>
    </xf>
    <xf numFmtId="165" fontId="4" fillId="2" borderId="10" xfId="1" applyFont="1" applyFill="1" applyBorder="1" applyAlignment="1">
      <alignment horizontal="right" vertical="center"/>
    </xf>
    <xf numFmtId="165" fontId="7" fillId="2" borderId="11" xfId="1" applyFont="1" applyFill="1" applyBorder="1" applyAlignment="1">
      <alignment horizontal="right" vertical="center"/>
    </xf>
    <xf numFmtId="165" fontId="2" fillId="4" borderId="4" xfId="1" applyFont="1" applyFill="1" applyBorder="1" applyAlignment="1">
      <alignment horizontal="right" vertical="center"/>
    </xf>
    <xf numFmtId="165" fontId="5" fillId="2" borderId="10" xfId="1" applyFont="1" applyFill="1" applyBorder="1" applyAlignment="1">
      <alignment horizontal="right" vertical="center"/>
    </xf>
    <xf numFmtId="165" fontId="7" fillId="2" borderId="10" xfId="1" applyFont="1" applyFill="1" applyBorder="1" applyAlignment="1">
      <alignment horizontal="right" vertical="center"/>
    </xf>
    <xf numFmtId="165" fontId="11" fillId="5" borderId="10" xfId="1" applyFont="1" applyFill="1" applyBorder="1" applyAlignment="1">
      <alignment horizontal="right" vertical="center"/>
    </xf>
    <xf numFmtId="165" fontId="8" fillId="2" borderId="10" xfId="1" applyFont="1" applyFill="1" applyBorder="1" applyAlignment="1">
      <alignment horizontal="right" vertical="center"/>
    </xf>
    <xf numFmtId="165" fontId="2" fillId="4" borderId="3" xfId="1" applyFont="1" applyFill="1" applyBorder="1" applyAlignment="1">
      <alignment horizontal="right" vertical="center"/>
    </xf>
    <xf numFmtId="165" fontId="4" fillId="2" borderId="11" xfId="1" applyFont="1" applyFill="1" applyBorder="1" applyAlignment="1">
      <alignment horizontal="right" vertical="center"/>
    </xf>
    <xf numFmtId="165" fontId="5" fillId="2" borderId="4" xfId="1" applyFont="1" applyFill="1" applyBorder="1" applyAlignment="1">
      <alignment horizontal="right" vertical="center"/>
    </xf>
    <xf numFmtId="165" fontId="7" fillId="3" borderId="4" xfId="1" applyFont="1" applyFill="1" applyBorder="1" applyAlignment="1">
      <alignment horizontal="right" vertical="center"/>
    </xf>
    <xf numFmtId="165" fontId="2" fillId="2" borderId="29" xfId="1" applyFont="1" applyFill="1" applyBorder="1" applyAlignment="1">
      <alignment horizontal="right" vertical="center" wrapText="1"/>
    </xf>
    <xf numFmtId="165" fontId="2" fillId="2" borderId="0" xfId="1" applyFont="1" applyFill="1" applyBorder="1" applyAlignment="1">
      <alignment horizontal="right" vertical="center" wrapText="1"/>
    </xf>
    <xf numFmtId="165" fontId="2" fillId="2" borderId="12" xfId="1" applyFont="1" applyFill="1" applyBorder="1" applyAlignment="1">
      <alignment horizontal="right" vertical="center"/>
    </xf>
    <xf numFmtId="171" fontId="2" fillId="2" borderId="0" xfId="1" applyNumberFormat="1" applyFont="1" applyFill="1" applyAlignment="1">
      <alignment horizontal="right" vertical="center"/>
    </xf>
    <xf numFmtId="165" fontId="7" fillId="2" borderId="8" xfId="1" applyFont="1" applyFill="1" applyBorder="1" applyAlignment="1">
      <alignment horizontal="left" vertical="center"/>
    </xf>
    <xf numFmtId="165" fontId="7" fillId="2" borderId="0" xfId="1" applyFont="1" applyFill="1" applyAlignment="1">
      <alignment horizontal="left" vertical="center"/>
    </xf>
    <xf numFmtId="165" fontId="9" fillId="2" borderId="0" xfId="1" applyFont="1" applyFill="1" applyAlignment="1">
      <alignment horizontal="left" vertical="center"/>
    </xf>
    <xf numFmtId="165" fontId="9" fillId="2" borderId="12" xfId="1" applyFont="1" applyFill="1" applyBorder="1" applyAlignment="1">
      <alignment horizontal="left" vertical="center"/>
    </xf>
    <xf numFmtId="165" fontId="3" fillId="2" borderId="0" xfId="1" applyFont="1" applyFill="1" applyBorder="1" applyAlignment="1">
      <alignment horizontal="left" vertical="center"/>
    </xf>
    <xf numFmtId="165" fontId="2" fillId="2" borderId="0" xfId="1" applyFont="1" applyFill="1" applyBorder="1" applyAlignment="1">
      <alignment horizontal="left" vertical="center"/>
    </xf>
    <xf numFmtId="165" fontId="4" fillId="2" borderId="0" xfId="1" applyFont="1" applyFill="1" applyBorder="1" applyAlignment="1">
      <alignment horizontal="left" vertical="center"/>
    </xf>
    <xf numFmtId="165" fontId="7" fillId="2" borderId="12" xfId="1" applyFont="1" applyFill="1" applyBorder="1" applyAlignment="1">
      <alignment horizontal="left" vertical="center"/>
    </xf>
    <xf numFmtId="165" fontId="2" fillId="4" borderId="4" xfId="1" applyFont="1" applyFill="1" applyBorder="1" applyAlignment="1">
      <alignment horizontal="left" vertical="center"/>
    </xf>
    <xf numFmtId="165" fontId="5" fillId="2" borderId="0" xfId="1" applyFont="1" applyFill="1" applyBorder="1" applyAlignment="1">
      <alignment horizontal="left" vertical="center"/>
    </xf>
    <xf numFmtId="165" fontId="7" fillId="2" borderId="0" xfId="1" applyFont="1" applyFill="1" applyBorder="1" applyAlignment="1">
      <alignment horizontal="left" vertical="center"/>
    </xf>
    <xf numFmtId="165" fontId="11" fillId="5" borderId="0" xfId="1" applyFont="1" applyFill="1" applyBorder="1" applyAlignment="1">
      <alignment horizontal="left" vertical="center"/>
    </xf>
    <xf numFmtId="165" fontId="8" fillId="2" borderId="0" xfId="1" applyFont="1" applyFill="1" applyBorder="1" applyAlignment="1">
      <alignment horizontal="left" vertical="center"/>
    </xf>
    <xf numFmtId="165" fontId="5" fillId="4" borderId="4" xfId="1" applyFont="1" applyFill="1" applyBorder="1" applyAlignment="1">
      <alignment horizontal="left" vertical="center"/>
    </xf>
    <xf numFmtId="165" fontId="4" fillId="2" borderId="12" xfId="1" applyFont="1" applyFill="1" applyBorder="1" applyAlignment="1">
      <alignment horizontal="left" vertical="center"/>
    </xf>
    <xf numFmtId="165" fontId="5" fillId="2" borderId="4" xfId="1" applyFont="1" applyFill="1" applyBorder="1" applyAlignment="1">
      <alignment horizontal="left" vertical="center"/>
    </xf>
    <xf numFmtId="165" fontId="7" fillId="3" borderId="4" xfId="1" applyFont="1" applyFill="1" applyBorder="1" applyAlignment="1">
      <alignment horizontal="left" vertical="center"/>
    </xf>
    <xf numFmtId="165" fontId="2" fillId="2" borderId="29" xfId="1" applyFont="1" applyFill="1" applyBorder="1" applyAlignment="1">
      <alignment horizontal="left" vertical="center" wrapText="1"/>
    </xf>
    <xf numFmtId="165" fontId="2" fillId="2" borderId="0" xfId="1" applyFont="1" applyFill="1" applyBorder="1" applyAlignment="1">
      <alignment horizontal="left" vertical="center" wrapText="1"/>
    </xf>
    <xf numFmtId="165" fontId="16" fillId="2" borderId="19" xfId="1" applyFont="1" applyFill="1" applyBorder="1" applyAlignment="1">
      <alignment horizontal="left" vertical="center"/>
    </xf>
    <xf numFmtId="165" fontId="5" fillId="2" borderId="0" xfId="1" applyFont="1" applyFill="1" applyAlignment="1">
      <alignment vertical="center"/>
    </xf>
    <xf numFmtId="165" fontId="7" fillId="2" borderId="0" xfId="1" applyFont="1" applyFill="1" applyBorder="1" applyAlignment="1">
      <alignment vertical="center"/>
    </xf>
    <xf numFmtId="165" fontId="9" fillId="2" borderId="0" xfId="1" applyFont="1" applyFill="1" applyBorder="1" applyAlignment="1">
      <alignment vertical="center"/>
    </xf>
    <xf numFmtId="165" fontId="16" fillId="2" borderId="13" xfId="1" applyFont="1" applyFill="1" applyBorder="1" applyAlignment="1">
      <alignment vertical="center"/>
    </xf>
    <xf numFmtId="165" fontId="16" fillId="7" borderId="13" xfId="1" applyFont="1" applyFill="1" applyBorder="1" applyAlignment="1">
      <alignment vertical="center"/>
    </xf>
    <xf numFmtId="165" fontId="8" fillId="2" borderId="13" xfId="1" applyFont="1" applyFill="1" applyBorder="1" applyAlignment="1">
      <alignment vertical="center"/>
    </xf>
    <xf numFmtId="165" fontId="7" fillId="2" borderId="15" xfId="1" applyFont="1" applyFill="1" applyBorder="1" applyAlignment="1">
      <alignment vertical="center"/>
    </xf>
    <xf numFmtId="165" fontId="5" fillId="4" borderId="4" xfId="1" applyFont="1" applyFill="1" applyBorder="1" applyAlignment="1">
      <alignment vertical="center"/>
    </xf>
    <xf numFmtId="165" fontId="7" fillId="2" borderId="13" xfId="1" applyFont="1" applyFill="1" applyBorder="1" applyAlignment="1">
      <alignment vertical="center"/>
    </xf>
    <xf numFmtId="165" fontId="13" fillId="2" borderId="13" xfId="1" applyFont="1" applyFill="1" applyBorder="1" applyAlignment="1">
      <alignment vertical="center"/>
    </xf>
    <xf numFmtId="165" fontId="8" fillId="5" borderId="13" xfId="1" applyFont="1" applyFill="1" applyBorder="1" applyAlignment="1">
      <alignment vertical="center"/>
    </xf>
    <xf numFmtId="165" fontId="8" fillId="5" borderId="0" xfId="1" applyFont="1" applyFill="1" applyBorder="1" applyAlignment="1">
      <alignment vertical="center"/>
    </xf>
    <xf numFmtId="165" fontId="8" fillId="5" borderId="15" xfId="1" applyFont="1" applyFill="1" applyBorder="1" applyAlignment="1">
      <alignment vertical="center"/>
    </xf>
    <xf numFmtId="165" fontId="16" fillId="2" borderId="13" xfId="1" applyFont="1" applyFill="1" applyBorder="1" applyAlignment="1">
      <alignment vertical="top"/>
    </xf>
    <xf numFmtId="165" fontId="11" fillId="5" borderId="13" xfId="1" applyFont="1" applyFill="1" applyBorder="1" applyAlignment="1">
      <alignment vertical="center"/>
    </xf>
    <xf numFmtId="165" fontId="8" fillId="2" borderId="15" xfId="1" applyFont="1" applyFill="1" applyBorder="1" applyAlignment="1">
      <alignment vertical="center"/>
    </xf>
    <xf numFmtId="165" fontId="5" fillId="2" borderId="29" xfId="1" applyFont="1" applyFill="1" applyBorder="1" applyAlignment="1">
      <alignment vertical="center" wrapText="1"/>
    </xf>
    <xf numFmtId="165" fontId="5" fillId="2" borderId="0" xfId="1" applyFont="1" applyFill="1" applyBorder="1" applyAlignment="1">
      <alignment vertical="center" wrapText="1"/>
    </xf>
    <xf numFmtId="165" fontId="8" fillId="2" borderId="13" xfId="1" applyFont="1" applyFill="1" applyBorder="1" applyAlignment="1">
      <alignment horizontal="right" vertical="center"/>
    </xf>
    <xf numFmtId="43" fontId="5" fillId="2" borderId="19" xfId="1" applyNumberFormat="1" applyFont="1" applyFill="1" applyBorder="1" applyAlignment="1">
      <alignment horizontal="center" vertical="center"/>
    </xf>
    <xf numFmtId="165" fontId="5" fillId="2" borderId="0" xfId="1" applyFont="1" applyFill="1" applyBorder="1" applyAlignment="1">
      <alignment horizontal="center" vertical="center"/>
    </xf>
    <xf numFmtId="0" fontId="2" fillId="2" borderId="10" xfId="0" quotePrefix="1" applyFont="1" applyFill="1" applyBorder="1" applyAlignment="1">
      <alignment horizontal="left" vertical="top" wrapText="1"/>
    </xf>
    <xf numFmtId="0" fontId="2" fillId="2" borderId="0" xfId="0" quotePrefix="1" applyFont="1" applyFill="1" applyAlignment="1">
      <alignment horizontal="left" vertical="top" wrapText="1"/>
    </xf>
    <xf numFmtId="0" fontId="2" fillId="2" borderId="13" xfId="0" quotePrefix="1" applyFont="1" applyFill="1" applyBorder="1" applyAlignment="1">
      <alignment horizontal="left" vertical="top" wrapText="1"/>
    </xf>
    <xf numFmtId="0" fontId="5" fillId="2" borderId="0" xfId="0" applyFont="1" applyFill="1" applyAlignment="1">
      <alignment horizontal="left" vertical="center" wrapText="1"/>
    </xf>
    <xf numFmtId="0" fontId="11" fillId="5" borderId="0" xfId="0" applyFont="1" applyFill="1" applyAlignment="1">
      <alignment horizontal="center" vertical="center"/>
    </xf>
    <xf numFmtId="165" fontId="2" fillId="2" borderId="0" xfId="1" applyFont="1" applyFill="1" applyBorder="1" applyAlignment="1">
      <alignment horizontal="center" vertical="center"/>
    </xf>
    <xf numFmtId="0" fontId="5" fillId="2" borderId="10" xfId="0" quotePrefix="1" applyFont="1" applyFill="1" applyBorder="1" applyAlignment="1">
      <alignment horizontal="left" vertical="top" wrapText="1"/>
    </xf>
    <xf numFmtId="0" fontId="5" fillId="2" borderId="0" xfId="0" quotePrefix="1" applyFont="1" applyFill="1" applyAlignment="1">
      <alignment horizontal="left" vertical="top" wrapText="1"/>
    </xf>
    <xf numFmtId="0" fontId="5" fillId="2" borderId="13" xfId="0" quotePrefix="1" applyFont="1" applyFill="1" applyBorder="1" applyAlignment="1">
      <alignment horizontal="left" vertical="top" wrapText="1"/>
    </xf>
    <xf numFmtId="167" fontId="21" fillId="5" borderId="0" xfId="0" applyNumberFormat="1" applyFont="1" applyFill="1" applyAlignment="1">
      <alignment horizontal="left" vertical="center"/>
    </xf>
    <xf numFmtId="167" fontId="21" fillId="5" borderId="37" xfId="0" applyNumberFormat="1" applyFont="1" applyFill="1" applyBorder="1" applyAlignment="1">
      <alignment horizontal="left" vertical="center"/>
    </xf>
    <xf numFmtId="0" fontId="5" fillId="2" borderId="9" xfId="0" applyFont="1" applyFill="1" applyBorder="1" applyAlignment="1">
      <alignment horizontal="right" vertical="center"/>
    </xf>
    <xf numFmtId="0" fontId="5" fillId="2" borderId="13" xfId="0" applyFont="1" applyFill="1" applyBorder="1" applyAlignment="1">
      <alignment horizontal="left" vertical="center" wrapText="1"/>
    </xf>
    <xf numFmtId="0" fontId="15" fillId="2" borderId="0" xfId="0" applyFont="1" applyFill="1" applyAlignment="1">
      <alignment horizontal="center" vertical="center"/>
    </xf>
    <xf numFmtId="167" fontId="21" fillId="5" borderId="10" xfId="0" applyNumberFormat="1" applyFont="1" applyFill="1" applyBorder="1" applyAlignment="1">
      <alignment horizontal="left"/>
    </xf>
    <xf numFmtId="0" fontId="5" fillId="2" borderId="10" xfId="0" applyFont="1" applyFill="1" applyBorder="1" applyAlignment="1">
      <alignment horizontal="left" vertical="center"/>
    </xf>
    <xf numFmtId="167" fontId="1" fillId="2" borderId="0" xfId="0" applyNumberFormat="1" applyFont="1" applyFill="1" applyAlignment="1">
      <alignment horizontal="left" vertical="center"/>
    </xf>
    <xf numFmtId="167" fontId="2" fillId="2" borderId="10" xfId="0" applyNumberFormat="1" applyFont="1" applyFill="1" applyBorder="1" applyAlignment="1">
      <alignment horizontal="left" vertical="top"/>
    </xf>
    <xf numFmtId="167" fontId="2" fillId="2" borderId="0" xfId="1" applyNumberFormat="1" applyFont="1" applyFill="1" applyBorder="1" applyAlignment="1">
      <alignment horizontal="left" vertical="center"/>
    </xf>
    <xf numFmtId="173" fontId="2" fillId="2" borderId="0" xfId="0" applyNumberFormat="1" applyFont="1" applyFill="1" applyAlignment="1">
      <alignment vertical="top" wrapText="1"/>
    </xf>
    <xf numFmtId="173" fontId="2" fillId="2" borderId="13" xfId="0" applyNumberFormat="1" applyFont="1" applyFill="1" applyBorder="1" applyAlignment="1">
      <alignment vertical="top" wrapText="1"/>
    </xf>
    <xf numFmtId="173" fontId="2" fillId="2" borderId="10" xfId="0" applyNumberFormat="1" applyFont="1" applyFill="1" applyBorder="1" applyAlignment="1">
      <alignment horizontal="left" vertical="top" wrapText="1"/>
    </xf>
    <xf numFmtId="173" fontId="2" fillId="2" borderId="0" xfId="0" applyNumberFormat="1" applyFont="1" applyFill="1" applyAlignment="1">
      <alignment horizontal="left" vertical="top" wrapText="1"/>
    </xf>
    <xf numFmtId="167" fontId="3" fillId="2" borderId="0" xfId="0" applyNumberFormat="1" applyFont="1" applyFill="1" applyAlignment="1">
      <alignment horizontal="left" vertical="center"/>
    </xf>
    <xf numFmtId="0" fontId="3" fillId="2" borderId="0" xfId="0" applyFont="1" applyFill="1" applyAlignment="1">
      <alignment vertical="center" wrapText="1"/>
    </xf>
    <xf numFmtId="173" fontId="3" fillId="2" borderId="0" xfId="0" applyNumberFormat="1" applyFont="1" applyFill="1" applyAlignment="1">
      <alignment vertical="top" wrapText="1"/>
    </xf>
    <xf numFmtId="173" fontId="3" fillId="2" borderId="13" xfId="0" applyNumberFormat="1" applyFont="1" applyFill="1" applyBorder="1" applyAlignment="1">
      <alignment vertical="top" wrapText="1"/>
    </xf>
    <xf numFmtId="0" fontId="5" fillId="2" borderId="10" xfId="0" applyFont="1" applyFill="1" applyBorder="1" applyAlignment="1">
      <alignment horizontal="left" vertical="center" wrapText="1"/>
    </xf>
    <xf numFmtId="0" fontId="5" fillId="2" borderId="9" xfId="0" applyFont="1" applyFill="1" applyBorder="1" applyAlignment="1">
      <alignment horizontal="left" vertical="top"/>
    </xf>
    <xf numFmtId="0" fontId="2" fillId="2" borderId="0" xfId="0" applyFont="1" applyFill="1" applyAlignment="1">
      <alignment vertical="top"/>
    </xf>
    <xf numFmtId="0" fontId="2" fillId="2" borderId="0" xfId="0" applyFont="1" applyFill="1" applyAlignment="1">
      <alignment vertical="top" wrapText="1"/>
    </xf>
    <xf numFmtId="0" fontId="8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5" fontId="2" fillId="2" borderId="12" xfId="1" applyFont="1" applyFill="1" applyBorder="1" applyAlignment="1">
      <alignment horizontal="left" vertical="center"/>
    </xf>
    <xf numFmtId="0" fontId="22" fillId="2" borderId="10" xfId="0" applyFont="1" applyFill="1" applyBorder="1" applyAlignment="1">
      <alignment vertical="center"/>
    </xf>
    <xf numFmtId="165" fontId="22" fillId="2" borderId="19" xfId="1" applyFont="1" applyFill="1" applyBorder="1" applyAlignment="1">
      <alignment horizontal="center" vertical="top"/>
    </xf>
    <xf numFmtId="165" fontId="22" fillId="4" borderId="17" xfId="1" applyFont="1" applyFill="1" applyBorder="1" applyAlignment="1">
      <alignment horizontal="center" vertical="center"/>
    </xf>
    <xf numFmtId="165" fontId="22" fillId="4" borderId="4" xfId="1" applyFont="1" applyFill="1" applyBorder="1" applyAlignment="1">
      <alignment horizontal="center" vertical="center"/>
    </xf>
    <xf numFmtId="0" fontId="5" fillId="2" borderId="0" xfId="0" applyFont="1" applyFill="1" applyAlignment="1">
      <alignment horizontal="left" vertical="center" wrapText="1"/>
    </xf>
    <xf numFmtId="9" fontId="2" fillId="2" borderId="0" xfId="0" applyNumberFormat="1" applyFont="1" applyFill="1" applyAlignment="1">
      <alignment horizontal="left" vertical="center" wrapText="1"/>
    </xf>
    <xf numFmtId="0" fontId="2" fillId="2" borderId="0" xfId="0" applyFont="1" applyFill="1" applyAlignment="1">
      <alignment horizontal="left" vertical="center" wrapText="1"/>
    </xf>
    <xf numFmtId="0" fontId="2" fillId="2" borderId="25" xfId="1" applyNumberFormat="1" applyFont="1" applyFill="1" applyBorder="1" applyAlignment="1">
      <alignment horizontal="left" vertical="center" wrapText="1"/>
    </xf>
    <xf numFmtId="0" fontId="2" fillId="2" borderId="26" xfId="1" applyNumberFormat="1" applyFont="1" applyFill="1" applyBorder="1" applyAlignment="1">
      <alignment horizontal="left" vertical="center" wrapText="1"/>
    </xf>
    <xf numFmtId="0" fontId="2" fillId="2" borderId="34" xfId="1" applyNumberFormat="1" applyFont="1" applyFill="1" applyBorder="1" applyAlignment="1">
      <alignment horizontal="left" vertical="center" wrapText="1"/>
    </xf>
    <xf numFmtId="0" fontId="7" fillId="3" borderId="3" xfId="0" applyFont="1" applyFill="1" applyBorder="1" applyAlignment="1">
      <alignment horizontal="left" vertical="center"/>
    </xf>
    <xf numFmtId="0" fontId="7" fillId="3" borderId="4" xfId="0" applyFont="1" applyFill="1" applyBorder="1" applyAlignment="1">
      <alignment horizontal="left" vertical="center"/>
    </xf>
    <xf numFmtId="165" fontId="7" fillId="3" borderId="4" xfId="1" applyFont="1" applyFill="1" applyBorder="1" applyAlignment="1">
      <alignment horizontal="center" vertical="center"/>
    </xf>
    <xf numFmtId="165" fontId="7" fillId="3" borderId="17" xfId="1" applyFont="1" applyFill="1" applyBorder="1" applyAlignment="1">
      <alignment horizontal="center" vertical="center"/>
    </xf>
    <xf numFmtId="0" fontId="2" fillId="2" borderId="22" xfId="1" applyNumberFormat="1" applyFont="1" applyFill="1" applyBorder="1" applyAlignment="1">
      <alignment horizontal="left" vertical="center" wrapText="1"/>
    </xf>
    <xf numFmtId="0" fontId="2" fillId="2" borderId="23" xfId="1" applyNumberFormat="1" applyFont="1" applyFill="1" applyBorder="1" applyAlignment="1">
      <alignment horizontal="left" vertical="center" wrapText="1"/>
    </xf>
    <xf numFmtId="0" fontId="2" fillId="2" borderId="33" xfId="1" applyNumberFormat="1" applyFont="1" applyFill="1" applyBorder="1" applyAlignment="1">
      <alignment horizontal="left" vertical="center" wrapText="1"/>
    </xf>
    <xf numFmtId="43" fontId="2" fillId="2" borderId="0" xfId="0" applyNumberFormat="1" applyFont="1" applyFill="1" applyAlignment="1">
      <alignment horizontal="center" vertical="center"/>
    </xf>
    <xf numFmtId="0" fontId="2" fillId="2" borderId="31" xfId="1" applyNumberFormat="1" applyFont="1" applyFill="1" applyBorder="1" applyAlignment="1">
      <alignment horizontal="left" vertical="center" wrapText="1"/>
    </xf>
    <xf numFmtId="0" fontId="2" fillId="2" borderId="32" xfId="1" applyNumberFormat="1" applyFont="1" applyFill="1" applyBorder="1" applyAlignment="1">
      <alignment horizontal="left" vertical="center" wrapText="1"/>
    </xf>
    <xf numFmtId="0" fontId="2" fillId="2" borderId="36" xfId="1" applyNumberFormat="1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top" wrapText="1"/>
    </xf>
    <xf numFmtId="0" fontId="2" fillId="2" borderId="10" xfId="0" applyFont="1" applyFill="1" applyBorder="1" applyAlignment="1">
      <alignment horizontal="left" vertical="center" wrapText="1"/>
    </xf>
    <xf numFmtId="165" fontId="7" fillId="3" borderId="3" xfId="1" applyFont="1" applyFill="1" applyBorder="1" applyAlignment="1">
      <alignment horizontal="center" vertical="center"/>
    </xf>
    <xf numFmtId="165" fontId="7" fillId="3" borderId="5" xfId="1" applyFont="1" applyFill="1" applyBorder="1" applyAlignment="1">
      <alignment horizontal="center" vertical="center"/>
    </xf>
    <xf numFmtId="0" fontId="2" fillId="2" borderId="10" xfId="0" quotePrefix="1" applyFont="1" applyFill="1" applyBorder="1" applyAlignment="1">
      <alignment horizontal="left" vertical="top" wrapText="1"/>
    </xf>
    <xf numFmtId="0" fontId="2" fillId="2" borderId="0" xfId="0" quotePrefix="1" applyFont="1" applyFill="1" applyAlignment="1">
      <alignment horizontal="left" vertical="top" wrapText="1"/>
    </xf>
    <xf numFmtId="0" fontId="2" fillId="2" borderId="13" xfId="0" quotePrefix="1" applyFont="1" applyFill="1" applyBorder="1" applyAlignment="1">
      <alignment horizontal="left" vertical="top" wrapText="1"/>
    </xf>
    <xf numFmtId="0" fontId="11" fillId="5" borderId="10" xfId="0" applyFont="1" applyFill="1" applyBorder="1" applyAlignment="1">
      <alignment horizontal="center" vertical="center"/>
    </xf>
    <xf numFmtId="0" fontId="11" fillId="5" borderId="13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left" vertical="top" wrapText="1"/>
    </xf>
    <xf numFmtId="0" fontId="5" fillId="2" borderId="0" xfId="0" applyFont="1" applyFill="1" applyAlignment="1">
      <alignment horizontal="left" vertical="top" wrapText="1"/>
    </xf>
    <xf numFmtId="0" fontId="5" fillId="2" borderId="13" xfId="0" applyFont="1" applyFill="1" applyBorder="1" applyAlignment="1">
      <alignment horizontal="left" vertical="top" wrapText="1"/>
    </xf>
    <xf numFmtId="0" fontId="5" fillId="2" borderId="10" xfId="0" quotePrefix="1" applyFont="1" applyFill="1" applyBorder="1" applyAlignment="1">
      <alignment horizontal="left" vertical="top" wrapText="1"/>
    </xf>
    <xf numFmtId="0" fontId="5" fillId="2" borderId="0" xfId="0" quotePrefix="1" applyFont="1" applyFill="1" applyAlignment="1">
      <alignment horizontal="left" vertical="top" wrapText="1"/>
    </xf>
    <xf numFmtId="0" fontId="5" fillId="2" borderId="13" xfId="0" quotePrefix="1" applyFont="1" applyFill="1" applyBorder="1" applyAlignment="1">
      <alignment horizontal="left" vertical="top" wrapText="1"/>
    </xf>
    <xf numFmtId="172" fontId="2" fillId="2" borderId="10" xfId="0" applyNumberFormat="1" applyFont="1" applyFill="1" applyBorder="1" applyAlignment="1">
      <alignment horizontal="left" vertical="center"/>
    </xf>
    <xf numFmtId="172" fontId="2" fillId="2" borderId="0" xfId="0" applyNumberFormat="1" applyFont="1" applyFill="1" applyAlignment="1">
      <alignment horizontal="left" vertical="center"/>
    </xf>
    <xf numFmtId="172" fontId="2" fillId="2" borderId="13" xfId="0" applyNumberFormat="1" applyFont="1" applyFill="1" applyBorder="1" applyAlignment="1">
      <alignment horizontal="left" vertical="center"/>
    </xf>
    <xf numFmtId="0" fontId="5" fillId="2" borderId="10" xfId="0" applyFont="1" applyFill="1" applyBorder="1" applyAlignment="1">
      <alignment horizontal="left" vertical="center" wrapText="1"/>
    </xf>
    <xf numFmtId="0" fontId="5" fillId="2" borderId="13" xfId="0" applyFont="1" applyFill="1" applyBorder="1" applyAlignment="1">
      <alignment horizontal="left" vertical="center" wrapText="1"/>
    </xf>
    <xf numFmtId="0" fontId="11" fillId="5" borderId="0" xfId="0" applyFont="1" applyFill="1" applyAlignment="1">
      <alignment horizontal="center" vertical="center"/>
    </xf>
    <xf numFmtId="167" fontId="21" fillId="5" borderId="10" xfId="0" applyNumberFormat="1" applyFont="1" applyFill="1" applyBorder="1" applyAlignment="1">
      <alignment horizontal="left" vertical="top" wrapText="1"/>
    </xf>
    <xf numFmtId="167" fontId="21" fillId="5" borderId="0" xfId="0" applyNumberFormat="1" applyFont="1" applyFill="1" applyAlignment="1">
      <alignment horizontal="left" vertical="top" wrapText="1"/>
    </xf>
    <xf numFmtId="167" fontId="21" fillId="5" borderId="13" xfId="0" applyNumberFormat="1" applyFont="1" applyFill="1" applyBorder="1" applyAlignment="1">
      <alignment horizontal="left" vertical="top" wrapText="1"/>
    </xf>
  </cellXfs>
  <cellStyles count="12">
    <cellStyle name="Comma" xfId="1" builtinId="3"/>
    <cellStyle name="Comma 2" xfId="2" xr:uid="{00000000-0005-0000-0000-000031000000}"/>
    <cellStyle name="Currency 2" xfId="3" xr:uid="{00000000-0005-0000-0000-000032000000}"/>
    <cellStyle name="Hyperlink 2" xfId="4" xr:uid="{00000000-0005-0000-0000-000033000000}"/>
    <cellStyle name="Normal" xfId="0" builtinId="0"/>
    <cellStyle name="Normal 2" xfId="5" xr:uid="{00000000-0005-0000-0000-000034000000}"/>
    <cellStyle name="Normal 2 2" xfId="6" xr:uid="{00000000-0005-0000-0000-000035000000}"/>
    <cellStyle name="千分位 2" xfId="7" xr:uid="{00000000-0005-0000-0000-000036000000}"/>
    <cellStyle name="千分位 2 2" xfId="8" xr:uid="{00000000-0005-0000-0000-000037000000}"/>
    <cellStyle name="常规 2" xfId="9" xr:uid="{00000000-0005-0000-0000-000038000000}"/>
    <cellStyle name="常规 2 2" xfId="10" xr:uid="{00000000-0005-0000-0000-000039000000}"/>
    <cellStyle name="常规 3" xfId="11" xr:uid="{00000000-0005-0000-0000-00003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1891741</xdr:colOff>
      <xdr:row>0</xdr:row>
      <xdr:rowOff>321235</xdr:rowOff>
    </xdr:from>
    <xdr:to>
      <xdr:col>4</xdr:col>
      <xdr:colOff>3503706</xdr:colOff>
      <xdr:row>8</xdr:row>
      <xdr:rowOff>20383</xdr:rowOff>
    </xdr:to>
    <xdr:pic>
      <xdr:nvPicPr>
        <xdr:cNvPr id="7" name="圖片 6">
          <a:extLst>
            <a:ext uri="{FF2B5EF4-FFF2-40B4-BE49-F238E27FC236}">
              <a16:creationId xmlns:a16="http://schemas.microsoft.com/office/drawing/2014/main" id="{72D38714-598A-48EC-B696-311973CDE2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32153" y="321235"/>
          <a:ext cx="1611965" cy="14642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kennethwong@sfk.com.h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P330"/>
  <sheetViews>
    <sheetView tabSelected="1" topLeftCell="A296" zoomScaleNormal="100" zoomScaleSheetLayoutView="70" workbookViewId="0">
      <selection activeCell="L12" sqref="L12"/>
    </sheetView>
  </sheetViews>
  <sheetFormatPr defaultColWidth="12.42578125" defaultRowHeight="15.75" outlineLevelRow="1"/>
  <cols>
    <col min="1" max="1" width="3.5703125" style="2" customWidth="1"/>
    <col min="2" max="2" width="12.42578125" style="2"/>
    <col min="3" max="3" width="40" style="2" customWidth="1"/>
    <col min="4" max="4" width="12.42578125" style="3" customWidth="1"/>
    <col min="5" max="5" width="85.140625" style="3" customWidth="1"/>
    <col min="6" max="6" width="5.42578125" style="161" customWidth="1"/>
    <col min="7" max="7" width="18.85546875" style="31" customWidth="1"/>
    <col min="8" max="8" width="3.5703125" style="131" customWidth="1"/>
    <col min="9" max="9" width="21" style="203" customWidth="1"/>
    <col min="10" max="10" width="2.42578125" style="71" customWidth="1"/>
    <col min="11" max="11" width="24.5703125" style="71" customWidth="1"/>
    <col min="12" max="12" width="12.42578125" style="2"/>
    <col min="13" max="14" width="12.42578125" style="6"/>
    <col min="15" max="16384" width="12.42578125" style="2"/>
  </cols>
  <sheetData>
    <row r="1" spans="2:11" ht="33.75">
      <c r="J1" s="72" t="s">
        <v>0</v>
      </c>
      <c r="K1" s="72"/>
    </row>
    <row r="2" spans="2:11">
      <c r="E2" s="66"/>
    </row>
    <row r="3" spans="2:11">
      <c r="E3" s="66"/>
    </row>
    <row r="5" spans="2:11">
      <c r="E5" s="66"/>
    </row>
    <row r="7" spans="2:11">
      <c r="B7" s="4" t="s">
        <v>47</v>
      </c>
      <c r="C7" s="7" t="s">
        <v>92</v>
      </c>
      <c r="I7" s="203" t="s">
        <v>1</v>
      </c>
      <c r="J7" s="152" t="s">
        <v>2</v>
      </c>
      <c r="K7" s="110">
        <v>46126</v>
      </c>
    </row>
    <row r="8" spans="2:11">
      <c r="B8" s="4" t="s">
        <v>7</v>
      </c>
      <c r="C8" s="2" t="s">
        <v>112</v>
      </c>
      <c r="I8" s="203" t="s">
        <v>3</v>
      </c>
      <c r="J8" s="152" t="s">
        <v>2</v>
      </c>
      <c r="K8" s="2" t="s">
        <v>219</v>
      </c>
    </row>
    <row r="9" spans="2:11">
      <c r="B9" s="4" t="s">
        <v>8</v>
      </c>
      <c r="C9" s="5">
        <v>61330058</v>
      </c>
      <c r="I9" s="203" t="s">
        <v>4</v>
      </c>
      <c r="J9" s="152" t="s">
        <v>2</v>
      </c>
      <c r="K9" s="111" t="s">
        <v>91</v>
      </c>
    </row>
    <row r="10" spans="2:11">
      <c r="B10" s="4" t="s">
        <v>9</v>
      </c>
      <c r="C10" s="5" t="s">
        <v>218</v>
      </c>
      <c r="I10" s="203" t="s">
        <v>5</v>
      </c>
      <c r="J10" s="152" t="s">
        <v>2</v>
      </c>
    </row>
    <row r="11" spans="2:11">
      <c r="B11" s="4" t="s">
        <v>48</v>
      </c>
      <c r="C11" s="7" t="s">
        <v>93</v>
      </c>
      <c r="I11" s="203" t="s">
        <v>6</v>
      </c>
      <c r="J11" s="152" t="s">
        <v>2</v>
      </c>
    </row>
    <row r="12" spans="2:11">
      <c r="B12" s="4" t="s">
        <v>10</v>
      </c>
      <c r="C12" s="2" t="s">
        <v>274</v>
      </c>
    </row>
    <row r="13" spans="2:11" ht="30" customHeight="1">
      <c r="B13" s="10"/>
      <c r="C13" s="279"/>
      <c r="D13" s="279"/>
      <c r="E13" s="279"/>
      <c r="F13" s="279"/>
      <c r="G13" s="279"/>
      <c r="H13" s="279"/>
      <c r="I13" s="279"/>
      <c r="J13" s="279"/>
      <c r="K13" s="279"/>
    </row>
    <row r="14" spans="2:11" ht="17.100000000000001" customHeight="1" thickBot="1">
      <c r="B14" s="65" t="s">
        <v>50</v>
      </c>
      <c r="C14" s="11" t="s">
        <v>49</v>
      </c>
    </row>
    <row r="15" spans="2:11" ht="16.5" customHeight="1" thickBot="1">
      <c r="B15" s="12" t="s">
        <v>11</v>
      </c>
      <c r="C15" s="268" t="s">
        <v>12</v>
      </c>
      <c r="D15" s="269"/>
      <c r="E15" s="269"/>
      <c r="F15" s="281" t="s">
        <v>83</v>
      </c>
      <c r="G15" s="282"/>
      <c r="H15" s="281" t="s">
        <v>80</v>
      </c>
      <c r="I15" s="282"/>
      <c r="J15" s="281" t="s">
        <v>13</v>
      </c>
      <c r="K15" s="271"/>
    </row>
    <row r="16" spans="2:11">
      <c r="B16" s="13"/>
      <c r="C16" s="14" t="s">
        <v>14</v>
      </c>
      <c r="D16" s="15"/>
      <c r="E16" s="15"/>
      <c r="F16" s="162"/>
      <c r="G16" s="183"/>
      <c r="H16" s="132"/>
      <c r="I16" s="132"/>
      <c r="J16" s="73"/>
      <c r="K16" s="74"/>
    </row>
    <row r="17" spans="2:16" ht="33.75" customHeight="1">
      <c r="B17" s="16"/>
      <c r="C17" s="280" t="s">
        <v>94</v>
      </c>
      <c r="D17" s="264"/>
      <c r="E17" s="264"/>
      <c r="F17" s="163"/>
      <c r="G17" s="184"/>
      <c r="H17" s="133"/>
      <c r="I17" s="204"/>
      <c r="J17" s="75"/>
      <c r="K17" s="76"/>
    </row>
    <row r="18" spans="2:16">
      <c r="B18" s="16"/>
      <c r="C18" s="17"/>
      <c r="D18" s="9"/>
      <c r="E18" s="9"/>
      <c r="F18" s="163"/>
      <c r="G18" s="184"/>
      <c r="H18" s="133"/>
      <c r="I18" s="204"/>
      <c r="J18" s="75"/>
      <c r="K18" s="76"/>
    </row>
    <row r="19" spans="2:16">
      <c r="B19" s="16"/>
      <c r="C19" s="18" t="s">
        <v>15</v>
      </c>
      <c r="D19" s="108">
        <v>51</v>
      </c>
      <c r="E19" s="68" t="s">
        <v>16</v>
      </c>
      <c r="F19" s="164"/>
      <c r="G19" s="185"/>
      <c r="H19" s="134"/>
      <c r="I19" s="205"/>
      <c r="J19" s="77"/>
      <c r="K19" s="78"/>
    </row>
    <row r="20" spans="2:16" ht="16.5" thickBot="1">
      <c r="B20" s="16"/>
      <c r="C20" s="19"/>
      <c r="D20" s="20"/>
      <c r="E20" s="20"/>
      <c r="F20" s="165"/>
      <c r="G20" s="186"/>
      <c r="H20" s="135"/>
      <c r="I20" s="135"/>
      <c r="J20" s="79"/>
      <c r="K20" s="80"/>
      <c r="M20" s="2">
        <f>ROUNDUP(D19/12,0)</f>
        <v>5</v>
      </c>
      <c r="N20" s="2" t="s">
        <v>17</v>
      </c>
    </row>
    <row r="21" spans="2:16" ht="20.25">
      <c r="B21" s="21"/>
      <c r="C21" s="22" t="s">
        <v>53</v>
      </c>
      <c r="D21" s="23"/>
      <c r="E21" s="24"/>
      <c r="F21" s="166"/>
      <c r="G21" s="187"/>
      <c r="H21" s="136"/>
      <c r="I21" s="206"/>
      <c r="J21" s="153"/>
      <c r="K21" s="81"/>
      <c r="M21" s="44">
        <v>365</v>
      </c>
      <c r="N21" s="45" t="s">
        <v>18</v>
      </c>
      <c r="O21" s="46">
        <f>ROUNDUP((M21/365*12),0)</f>
        <v>12</v>
      </c>
      <c r="P21" s="45" t="s">
        <v>16</v>
      </c>
    </row>
    <row r="22" spans="2:16">
      <c r="B22" s="25"/>
      <c r="C22" s="26"/>
      <c r="D22" s="27"/>
      <c r="F22" s="166"/>
      <c r="G22" s="187"/>
      <c r="H22" s="136"/>
      <c r="I22" s="206"/>
      <c r="J22" s="117"/>
      <c r="K22" s="82"/>
    </row>
    <row r="23" spans="2:16" ht="18" customHeight="1">
      <c r="B23" s="25"/>
      <c r="C23" s="28" t="s">
        <v>19</v>
      </c>
      <c r="D23" s="27"/>
      <c r="E23" s="27"/>
      <c r="F23" s="167"/>
      <c r="G23" s="188"/>
      <c r="H23" s="137"/>
      <c r="I23" s="207"/>
      <c r="J23" s="116"/>
      <c r="K23" s="83"/>
    </row>
    <row r="24" spans="2:16" ht="18" customHeight="1">
      <c r="B24" s="29" t="s">
        <v>20</v>
      </c>
      <c r="C24" s="30" t="s">
        <v>95</v>
      </c>
      <c r="D24" s="27"/>
      <c r="E24" s="27"/>
      <c r="F24" s="167"/>
      <c r="G24" s="188"/>
      <c r="H24" s="137"/>
      <c r="I24" s="207"/>
      <c r="J24" s="160"/>
      <c r="K24" s="83"/>
    </row>
    <row r="25" spans="2:16" ht="18" customHeight="1">
      <c r="B25" s="29" t="s">
        <v>51</v>
      </c>
      <c r="C25" s="30" t="s">
        <v>134</v>
      </c>
      <c r="D25" s="31"/>
      <c r="E25" s="27"/>
      <c r="F25" s="168"/>
      <c r="G25" s="189"/>
      <c r="H25" s="138"/>
      <c r="I25" s="208"/>
      <c r="J25" s="116"/>
      <c r="K25" s="84"/>
    </row>
    <row r="26" spans="2:16" ht="18.95" customHeight="1">
      <c r="B26" s="29" t="s">
        <v>52</v>
      </c>
      <c r="C26" s="30" t="s">
        <v>96</v>
      </c>
      <c r="D26" s="31"/>
      <c r="E26" s="27"/>
      <c r="F26" s="168"/>
      <c r="G26" s="189"/>
      <c r="H26" s="138"/>
      <c r="I26" s="208"/>
      <c r="J26" s="116"/>
      <c r="K26" s="84"/>
    </row>
    <row r="27" spans="2:16" ht="18" customHeight="1">
      <c r="B27" s="29" t="s">
        <v>85</v>
      </c>
      <c r="C27" s="30" t="s">
        <v>97</v>
      </c>
      <c r="D27" s="32"/>
      <c r="E27" s="27"/>
      <c r="F27" s="168"/>
      <c r="G27" s="189"/>
      <c r="H27" s="138"/>
      <c r="I27" s="208"/>
      <c r="J27" s="116"/>
      <c r="K27" s="84"/>
    </row>
    <row r="28" spans="2:16" ht="18" customHeight="1" outlineLevel="1">
      <c r="B28" s="29" t="s">
        <v>86</v>
      </c>
      <c r="C28" s="30" t="s">
        <v>98</v>
      </c>
      <c r="D28" s="32"/>
      <c r="E28" s="27"/>
      <c r="F28" s="168"/>
      <c r="G28" s="189"/>
      <c r="H28" s="138"/>
      <c r="I28" s="208"/>
      <c r="J28" s="116"/>
      <c r="K28" s="84"/>
    </row>
    <row r="29" spans="2:16" ht="18" customHeight="1" outlineLevel="1">
      <c r="B29" s="29" t="s">
        <v>87</v>
      </c>
      <c r="C29" s="30" t="s">
        <v>99</v>
      </c>
      <c r="D29" s="32"/>
      <c r="E29" s="27"/>
      <c r="F29" s="168"/>
      <c r="G29" s="189"/>
      <c r="H29" s="138"/>
      <c r="I29" s="208"/>
      <c r="J29" s="116"/>
      <c r="K29" s="84"/>
    </row>
    <row r="30" spans="2:16" ht="18" customHeight="1" outlineLevel="1">
      <c r="B30" s="29" t="s">
        <v>88</v>
      </c>
      <c r="C30" s="30" t="s">
        <v>100</v>
      </c>
      <c r="D30" s="32"/>
      <c r="E30" s="27"/>
      <c r="F30" s="168"/>
      <c r="G30" s="189"/>
      <c r="H30" s="138"/>
      <c r="I30" s="208"/>
      <c r="J30" s="116"/>
      <c r="K30" s="84"/>
    </row>
    <row r="31" spans="2:16" ht="18" customHeight="1" outlineLevel="1">
      <c r="B31" s="29" t="s">
        <v>89</v>
      </c>
      <c r="C31" s="30" t="s">
        <v>90</v>
      </c>
      <c r="D31" s="31"/>
      <c r="E31" s="27"/>
      <c r="F31" s="168"/>
      <c r="G31" s="189"/>
      <c r="H31" s="138"/>
      <c r="I31" s="208"/>
      <c r="J31" s="116"/>
      <c r="K31" s="84"/>
    </row>
    <row r="32" spans="2:16" ht="18" customHeight="1" outlineLevel="1">
      <c r="B32" s="29" t="s">
        <v>105</v>
      </c>
      <c r="C32" s="30" t="s">
        <v>101</v>
      </c>
      <c r="D32" s="31"/>
      <c r="E32" s="27"/>
      <c r="F32" s="168"/>
      <c r="G32" s="189"/>
      <c r="H32" s="138"/>
      <c r="I32" s="208"/>
      <c r="J32" s="116"/>
      <c r="K32" s="84"/>
    </row>
    <row r="33" spans="2:11" ht="18" customHeight="1" outlineLevel="1">
      <c r="B33" s="29" t="s">
        <v>106</v>
      </c>
      <c r="C33" s="30" t="s">
        <v>102</v>
      </c>
      <c r="D33" s="31"/>
      <c r="E33" s="27"/>
      <c r="F33" s="168"/>
      <c r="G33" s="189"/>
      <c r="H33" s="138"/>
      <c r="I33" s="208"/>
      <c r="J33" s="116"/>
      <c r="K33" s="84"/>
    </row>
    <row r="34" spans="2:11" ht="18" customHeight="1" outlineLevel="1">
      <c r="B34" s="29" t="s">
        <v>107</v>
      </c>
      <c r="C34" s="30" t="s">
        <v>103</v>
      </c>
      <c r="D34" s="31"/>
      <c r="E34" s="27"/>
      <c r="F34" s="168"/>
      <c r="G34" s="189"/>
      <c r="H34" s="138"/>
      <c r="I34" s="208"/>
      <c r="J34" s="116"/>
      <c r="K34" s="84"/>
    </row>
    <row r="35" spans="2:11" ht="18" customHeight="1" outlineLevel="1">
      <c r="B35" s="29" t="s">
        <v>108</v>
      </c>
      <c r="C35" s="30" t="s">
        <v>104</v>
      </c>
      <c r="D35" s="31"/>
      <c r="E35" s="27"/>
      <c r="F35" s="168"/>
      <c r="G35" s="189"/>
      <c r="H35" s="138"/>
      <c r="I35" s="208"/>
      <c r="J35" s="116"/>
      <c r="K35" s="84"/>
    </row>
    <row r="36" spans="2:11" ht="18" customHeight="1" outlineLevel="1">
      <c r="B36" s="29"/>
      <c r="C36" s="30"/>
      <c r="D36" s="31"/>
      <c r="E36" s="27"/>
      <c r="F36" s="168"/>
      <c r="G36" s="189"/>
      <c r="H36" s="138"/>
      <c r="I36" s="208"/>
      <c r="J36" s="116"/>
      <c r="K36" s="84"/>
    </row>
    <row r="37" spans="2:11" ht="16.5" thickBot="1">
      <c r="B37" s="33"/>
      <c r="C37" s="34"/>
      <c r="D37" s="35"/>
      <c r="E37" s="36"/>
      <c r="F37" s="169"/>
      <c r="G37" s="190"/>
      <c r="H37" s="139"/>
      <c r="I37" s="209"/>
      <c r="J37" s="120"/>
      <c r="K37" s="85"/>
    </row>
    <row r="38" spans="2:11" ht="21" thickBot="1">
      <c r="B38" s="37" t="s">
        <v>21</v>
      </c>
      <c r="C38" s="38"/>
      <c r="D38" s="39"/>
      <c r="E38" s="39"/>
      <c r="F38" s="170"/>
      <c r="G38" s="191"/>
      <c r="H38" s="140"/>
      <c r="I38" s="210"/>
      <c r="J38" s="86"/>
      <c r="K38" s="87"/>
    </row>
    <row r="39" spans="2:11">
      <c r="B39" s="41" t="s">
        <v>20</v>
      </c>
      <c r="C39" s="14" t="str">
        <f>C24</f>
        <v>Centralized Management Platform (CMP)</v>
      </c>
      <c r="D39" s="24"/>
      <c r="E39" s="24"/>
      <c r="F39" s="171"/>
      <c r="G39" s="192"/>
      <c r="H39" s="141"/>
      <c r="I39" s="208"/>
      <c r="J39" s="123"/>
      <c r="K39" s="76"/>
    </row>
    <row r="40" spans="2:11">
      <c r="B40" s="114"/>
      <c r="C40" s="30" t="s">
        <v>74</v>
      </c>
      <c r="F40" s="171"/>
      <c r="G40" s="192"/>
      <c r="H40" s="141"/>
      <c r="I40" s="208"/>
      <c r="J40" s="123"/>
      <c r="K40" s="76"/>
    </row>
    <row r="41" spans="2:11">
      <c r="B41" s="114"/>
      <c r="C41" s="30"/>
      <c r="F41" s="171"/>
      <c r="G41" s="192"/>
      <c r="H41" s="141"/>
      <c r="I41" s="208"/>
      <c r="J41" s="123"/>
      <c r="K41" s="76"/>
    </row>
    <row r="42" spans="2:11">
      <c r="B42" s="41"/>
      <c r="C42" s="42" t="s">
        <v>275</v>
      </c>
      <c r="F42" s="30"/>
      <c r="G42" s="2"/>
      <c r="H42" s="30"/>
      <c r="I42" s="2"/>
      <c r="J42" s="30"/>
      <c r="K42" s="82"/>
    </row>
    <row r="43" spans="2:11">
      <c r="B43" s="41"/>
      <c r="C43" s="42"/>
      <c r="F43" s="30"/>
      <c r="G43" s="2"/>
      <c r="H43" s="30"/>
      <c r="I43" s="2"/>
      <c r="J43" s="30"/>
      <c r="K43" s="82"/>
    </row>
    <row r="44" spans="2:11">
      <c r="B44" s="25"/>
      <c r="C44" s="43"/>
      <c r="D44" s="2"/>
      <c r="E44" s="2"/>
      <c r="F44" s="167"/>
      <c r="G44" s="188"/>
      <c r="H44" s="137"/>
      <c r="I44" s="206"/>
      <c r="J44" s="118"/>
      <c r="K44" s="88"/>
    </row>
    <row r="45" spans="2:11">
      <c r="B45" s="25" t="s">
        <v>115</v>
      </c>
      <c r="C45" s="42" t="s">
        <v>116</v>
      </c>
      <c r="D45" s="2"/>
      <c r="E45" s="2"/>
      <c r="F45" s="107">
        <v>1</v>
      </c>
      <c r="G45" s="192" t="s">
        <v>81</v>
      </c>
      <c r="H45" s="141" t="s">
        <v>77</v>
      </c>
      <c r="I45" s="221">
        <v>50000</v>
      </c>
      <c r="J45" s="117" t="s">
        <v>77</v>
      </c>
      <c r="K45" s="222">
        <f>F45*I45</f>
        <v>50000</v>
      </c>
    </row>
    <row r="46" spans="2:11" ht="18.95" customHeight="1">
      <c r="B46" s="41"/>
      <c r="C46" s="43" t="s">
        <v>57</v>
      </c>
      <c r="D46" s="104"/>
      <c r="E46" s="27"/>
      <c r="F46" s="172"/>
      <c r="G46" s="193"/>
      <c r="H46" s="142"/>
      <c r="I46" s="211"/>
      <c r="J46" s="119"/>
      <c r="K46" s="76"/>
    </row>
    <row r="47" spans="2:11">
      <c r="B47" s="41"/>
      <c r="C47" s="43" t="s">
        <v>22</v>
      </c>
      <c r="E47" s="27"/>
      <c r="F47" s="172"/>
      <c r="G47" s="193"/>
      <c r="H47" s="142"/>
      <c r="I47" s="211"/>
      <c r="J47" s="119"/>
      <c r="K47" s="76"/>
    </row>
    <row r="48" spans="2:11">
      <c r="B48" s="41"/>
      <c r="C48" s="43" t="s">
        <v>23</v>
      </c>
      <c r="D48" s="105"/>
      <c r="E48" s="27"/>
      <c r="F48" s="172"/>
      <c r="G48" s="193"/>
      <c r="H48" s="142"/>
      <c r="I48" s="212"/>
      <c r="J48" s="154"/>
      <c r="K48" s="202"/>
    </row>
    <row r="49" spans="2:14">
      <c r="B49" s="25"/>
      <c r="C49" s="42"/>
      <c r="D49" s="2"/>
      <c r="E49" s="2"/>
      <c r="F49" s="107"/>
      <c r="G49" s="192"/>
      <c r="H49" s="141"/>
      <c r="I49" s="221"/>
      <c r="J49" s="229"/>
      <c r="K49" s="222"/>
    </row>
    <row r="50" spans="2:14">
      <c r="B50" s="25" t="s">
        <v>117</v>
      </c>
      <c r="C50" s="42" t="s">
        <v>78</v>
      </c>
      <c r="D50" s="2"/>
      <c r="E50" s="2"/>
      <c r="F50" s="107">
        <v>1</v>
      </c>
      <c r="G50" s="194" t="s">
        <v>60</v>
      </c>
      <c r="H50" s="42" t="s">
        <v>77</v>
      </c>
      <c r="I50" s="214">
        <v>20000</v>
      </c>
      <c r="J50" s="121" t="s">
        <v>77</v>
      </c>
      <c r="K50" s="76">
        <f>F50*I50</f>
        <v>20000</v>
      </c>
      <c r="M50" s="47"/>
      <c r="N50" s="48"/>
    </row>
    <row r="51" spans="2:14">
      <c r="B51" s="25"/>
      <c r="C51" s="43"/>
      <c r="D51" s="2"/>
      <c r="E51" s="2"/>
      <c r="F51" s="107"/>
      <c r="G51" s="194"/>
      <c r="H51" s="42"/>
      <c r="I51" s="214"/>
      <c r="J51" s="121"/>
      <c r="K51" s="76"/>
      <c r="M51" s="47"/>
      <c r="N51" s="48"/>
    </row>
    <row r="52" spans="2:14">
      <c r="B52" s="25" t="s">
        <v>118</v>
      </c>
      <c r="C52" s="42" t="s">
        <v>251</v>
      </c>
      <c r="D52" s="2"/>
      <c r="E52" s="2"/>
      <c r="F52" s="107">
        <v>51</v>
      </c>
      <c r="G52" s="194" t="s">
        <v>114</v>
      </c>
      <c r="H52" s="42" t="s">
        <v>77</v>
      </c>
      <c r="I52" s="214">
        <v>1000</v>
      </c>
      <c r="J52" s="121" t="s">
        <v>77</v>
      </c>
      <c r="K52" s="76">
        <f>F52*I52</f>
        <v>51000</v>
      </c>
      <c r="M52" s="47"/>
      <c r="N52" s="48"/>
    </row>
    <row r="53" spans="2:14">
      <c r="B53" s="25"/>
      <c r="C53" s="43" t="s">
        <v>256</v>
      </c>
      <c r="D53" s="2"/>
      <c r="E53" s="2"/>
      <c r="F53" s="107"/>
      <c r="G53" s="194"/>
      <c r="H53" s="42"/>
      <c r="I53" s="213"/>
      <c r="J53" s="256"/>
      <c r="K53" s="76"/>
      <c r="M53" s="47"/>
      <c r="N53" s="48"/>
    </row>
    <row r="54" spans="2:14">
      <c r="B54" s="25"/>
      <c r="C54" s="28"/>
      <c r="D54" s="2"/>
      <c r="E54" s="2"/>
      <c r="F54" s="173"/>
      <c r="G54" s="194"/>
      <c r="H54" s="143"/>
      <c r="I54" s="213"/>
      <c r="J54" s="124"/>
      <c r="K54" s="76"/>
      <c r="M54" s="47"/>
      <c r="N54" s="48"/>
    </row>
    <row r="55" spans="2:14">
      <c r="B55" s="25" t="s">
        <v>252</v>
      </c>
      <c r="C55" s="28" t="s">
        <v>263</v>
      </c>
      <c r="D55" s="2"/>
      <c r="E55" s="2"/>
      <c r="F55" s="107">
        <v>51</v>
      </c>
      <c r="G55" s="194" t="s">
        <v>114</v>
      </c>
      <c r="H55" s="42" t="s">
        <v>77</v>
      </c>
      <c r="I55" s="214">
        <v>1000</v>
      </c>
      <c r="J55" s="121" t="s">
        <v>77</v>
      </c>
      <c r="K55" s="76">
        <f>I55*D19</f>
        <v>51000</v>
      </c>
      <c r="M55" s="47"/>
      <c r="N55" s="48"/>
    </row>
    <row r="56" spans="2:14">
      <c r="B56" s="25"/>
      <c r="C56" s="43" t="s">
        <v>254</v>
      </c>
      <c r="D56" s="2"/>
      <c r="E56" s="2"/>
      <c r="F56" s="107"/>
      <c r="G56" s="194"/>
      <c r="H56" s="42"/>
      <c r="I56" s="214"/>
      <c r="J56" s="121"/>
      <c r="K56" s="76"/>
      <c r="M56" s="47"/>
      <c r="N56" s="48"/>
    </row>
    <row r="57" spans="2:14">
      <c r="B57" s="25"/>
      <c r="C57" s="43" t="s">
        <v>119</v>
      </c>
      <c r="D57" s="2"/>
      <c r="E57" s="2"/>
      <c r="F57" s="107"/>
      <c r="G57" s="194"/>
      <c r="H57" s="42"/>
      <c r="I57" s="214"/>
      <c r="J57" s="121"/>
      <c r="K57" s="76"/>
      <c r="M57" s="47"/>
      <c r="N57" s="48"/>
    </row>
    <row r="58" spans="2:14">
      <c r="B58" s="25"/>
      <c r="C58" s="43" t="s">
        <v>120</v>
      </c>
      <c r="D58" s="2"/>
      <c r="E58" s="2"/>
      <c r="F58" s="107"/>
      <c r="G58" s="194"/>
      <c r="H58" s="42"/>
      <c r="I58" s="214"/>
      <c r="J58" s="121"/>
      <c r="K58" s="76"/>
      <c r="M58" s="47"/>
      <c r="N58" s="48"/>
    </row>
    <row r="59" spans="2:14">
      <c r="B59" s="25"/>
      <c r="C59" s="43" t="s">
        <v>121</v>
      </c>
      <c r="D59" s="2"/>
      <c r="E59" s="2"/>
      <c r="F59" s="107"/>
      <c r="G59" s="194"/>
      <c r="H59" s="42"/>
      <c r="I59" s="214"/>
      <c r="J59" s="121"/>
      <c r="K59" s="76"/>
      <c r="M59" s="47"/>
      <c r="N59" s="48"/>
    </row>
    <row r="60" spans="2:14">
      <c r="B60" s="25"/>
      <c r="C60" s="43" t="s">
        <v>257</v>
      </c>
      <c r="D60" s="2"/>
      <c r="E60" s="2"/>
      <c r="F60" s="107"/>
      <c r="G60" s="194"/>
      <c r="H60" s="42"/>
      <c r="I60" s="214"/>
      <c r="J60" s="121"/>
      <c r="K60" s="76"/>
      <c r="M60" s="47"/>
      <c r="N60" s="48"/>
    </row>
    <row r="61" spans="2:14">
      <c r="B61" s="25"/>
      <c r="C61" s="28"/>
      <c r="D61" s="2"/>
      <c r="E61" s="2"/>
      <c r="F61" s="107"/>
      <c r="G61" s="194"/>
      <c r="H61" s="42"/>
      <c r="I61" s="214"/>
      <c r="J61" s="121"/>
      <c r="K61" s="76"/>
      <c r="M61" s="47"/>
      <c r="N61" s="48"/>
    </row>
    <row r="62" spans="2:14">
      <c r="B62" s="25" t="s">
        <v>253</v>
      </c>
      <c r="C62" s="28" t="s">
        <v>255</v>
      </c>
      <c r="D62" s="2"/>
      <c r="E62" s="2"/>
      <c r="F62" s="286" t="s">
        <v>55</v>
      </c>
      <c r="G62" s="299"/>
      <c r="H62" s="144" t="s">
        <v>77</v>
      </c>
      <c r="I62" s="213">
        <v>5000</v>
      </c>
      <c r="J62" s="124"/>
      <c r="K62" s="76" t="s">
        <v>82</v>
      </c>
      <c r="M62" s="47"/>
      <c r="N62" s="48"/>
    </row>
    <row r="63" spans="2:14">
      <c r="B63" s="25"/>
      <c r="C63" s="28"/>
      <c r="D63" s="2"/>
      <c r="E63" s="2"/>
      <c r="F63" s="286" t="s">
        <v>269</v>
      </c>
      <c r="G63" s="299"/>
      <c r="H63" s="144"/>
      <c r="I63" s="213"/>
      <c r="J63" s="124"/>
      <c r="K63" s="76"/>
      <c r="M63" s="47"/>
      <c r="N63" s="48"/>
    </row>
    <row r="64" spans="2:14">
      <c r="B64" s="25"/>
      <c r="C64" s="28"/>
      <c r="D64" s="2"/>
      <c r="E64" s="2"/>
      <c r="F64" s="70"/>
      <c r="G64" s="228"/>
      <c r="H64" s="144"/>
      <c r="I64" s="213"/>
      <c r="J64" s="124"/>
      <c r="K64" s="76"/>
      <c r="M64" s="47"/>
      <c r="N64" s="48"/>
    </row>
    <row r="65" spans="2:14">
      <c r="B65" s="25" t="s">
        <v>267</v>
      </c>
      <c r="C65" s="28" t="s">
        <v>268</v>
      </c>
      <c r="D65" s="2"/>
      <c r="E65" s="2"/>
      <c r="F65" s="286" t="s">
        <v>270</v>
      </c>
      <c r="G65" s="299"/>
      <c r="H65" s="144" t="s">
        <v>77</v>
      </c>
      <c r="I65" s="213">
        <v>1000</v>
      </c>
      <c r="J65" s="124"/>
      <c r="K65" s="76" t="s">
        <v>82</v>
      </c>
      <c r="M65" s="47"/>
      <c r="N65" s="48"/>
    </row>
    <row r="66" spans="2:14" ht="16.5" thickBot="1">
      <c r="B66" s="67"/>
      <c r="C66" s="106"/>
      <c r="D66" s="36"/>
      <c r="E66" s="36"/>
      <c r="F66" s="171"/>
      <c r="G66" s="257"/>
      <c r="H66" s="146"/>
      <c r="I66" s="215"/>
      <c r="J66" s="155"/>
      <c r="K66" s="85"/>
    </row>
    <row r="67" spans="2:14" ht="16.5" thickBot="1">
      <c r="B67" s="49"/>
      <c r="C67" s="38"/>
      <c r="D67" s="39"/>
      <c r="E67" s="39"/>
      <c r="F67" s="90"/>
      <c r="G67" s="196"/>
      <c r="H67" s="97"/>
      <c r="I67" s="90" t="s">
        <v>24</v>
      </c>
      <c r="J67" s="86" t="s">
        <v>77</v>
      </c>
      <c r="K67" s="87">
        <f>SUM(K42:K66)</f>
        <v>172000</v>
      </c>
      <c r="M67" s="55"/>
      <c r="N67" s="55"/>
    </row>
    <row r="68" spans="2:14" ht="21" thickBot="1">
      <c r="B68" s="37" t="s">
        <v>25</v>
      </c>
      <c r="C68" s="38"/>
      <c r="D68" s="39"/>
      <c r="E68" s="39"/>
      <c r="F68" s="175"/>
      <c r="G68" s="191"/>
      <c r="H68" s="140"/>
      <c r="I68" s="210"/>
      <c r="J68" s="97"/>
      <c r="K68" s="98"/>
    </row>
    <row r="69" spans="2:14" ht="15.75" customHeight="1">
      <c r="B69" s="40" t="s">
        <v>128</v>
      </c>
      <c r="C69" s="14" t="str">
        <f>C25</f>
        <v>Digitalized Tracking System</v>
      </c>
      <c r="D69" s="50"/>
      <c r="E69" s="50"/>
      <c r="F69" s="171"/>
      <c r="G69" s="192"/>
      <c r="H69" s="141"/>
      <c r="I69" s="208"/>
      <c r="J69" s="156"/>
      <c r="K69" s="74"/>
      <c r="M69" s="48"/>
      <c r="N69" s="48"/>
    </row>
    <row r="70" spans="2:14" ht="33.6" customHeight="1">
      <c r="B70" s="25"/>
      <c r="C70" s="283" t="s">
        <v>122</v>
      </c>
      <c r="D70" s="284"/>
      <c r="E70" s="285"/>
      <c r="F70" s="168"/>
      <c r="G70" s="189"/>
      <c r="H70" s="138"/>
      <c r="I70" s="206"/>
      <c r="J70" s="117"/>
      <c r="K70" s="82"/>
      <c r="M70" s="1"/>
      <c r="N70" s="1"/>
    </row>
    <row r="71" spans="2:14" ht="21" customHeight="1">
      <c r="B71" s="25"/>
      <c r="C71" s="291" t="s">
        <v>276</v>
      </c>
      <c r="D71" s="292"/>
      <c r="E71" s="293"/>
      <c r="F71" s="168"/>
      <c r="G71" s="189"/>
      <c r="H71" s="138"/>
      <c r="I71" s="206"/>
      <c r="J71" s="229"/>
      <c r="K71" s="82"/>
      <c r="M71" s="1"/>
      <c r="N71" s="1"/>
    </row>
    <row r="72" spans="2:14" ht="21" customHeight="1">
      <c r="B72" s="25"/>
      <c r="C72" s="230"/>
      <c r="D72" s="231"/>
      <c r="E72" s="232"/>
      <c r="F72" s="168"/>
      <c r="G72" s="189"/>
      <c r="H72" s="138"/>
      <c r="I72" s="206"/>
      <c r="J72" s="229"/>
      <c r="K72" s="82"/>
      <c r="M72" s="1"/>
      <c r="N72" s="1"/>
    </row>
    <row r="73" spans="2:14" ht="14.25" customHeight="1">
      <c r="B73" s="25"/>
      <c r="C73" s="283"/>
      <c r="D73" s="284"/>
      <c r="E73" s="285"/>
      <c r="F73" s="168"/>
      <c r="G73" s="189"/>
      <c r="H73" s="138"/>
      <c r="I73" s="206"/>
      <c r="J73" s="229"/>
      <c r="K73" s="82"/>
      <c r="M73" s="1"/>
      <c r="N73" s="1"/>
    </row>
    <row r="74" spans="2:14" ht="16.5" customHeight="1">
      <c r="B74" s="25" t="s">
        <v>129</v>
      </c>
      <c r="C74" s="288" t="s">
        <v>67</v>
      </c>
      <c r="D74" s="289"/>
      <c r="E74" s="290"/>
      <c r="F74" s="42">
        <v>1</v>
      </c>
      <c r="G74" s="54" t="s">
        <v>54</v>
      </c>
      <c r="H74" s="127" t="s">
        <v>77</v>
      </c>
      <c r="I74" s="122">
        <v>10000</v>
      </c>
      <c r="J74" s="127" t="s">
        <v>77</v>
      </c>
      <c r="K74" s="76">
        <f>F74*I74</f>
        <v>10000</v>
      </c>
      <c r="M74" s="48"/>
      <c r="N74" s="48"/>
    </row>
    <row r="75" spans="2:14" ht="16.5" customHeight="1">
      <c r="B75" s="25"/>
      <c r="C75" s="115" t="s">
        <v>123</v>
      </c>
      <c r="D75" s="233"/>
      <c r="E75" s="234"/>
      <c r="F75" s="173"/>
      <c r="G75" s="195"/>
      <c r="H75" s="145"/>
      <c r="I75" s="208"/>
      <c r="J75" s="128"/>
      <c r="K75" s="76"/>
      <c r="M75" s="48"/>
      <c r="N75" s="48"/>
    </row>
    <row r="76" spans="2:14" ht="16.5" customHeight="1">
      <c r="B76" s="25"/>
      <c r="C76" s="115" t="s">
        <v>124</v>
      </c>
      <c r="D76" s="233"/>
      <c r="E76" s="233"/>
      <c r="F76" s="42"/>
      <c r="G76" s="54"/>
      <c r="H76" s="127"/>
      <c r="I76" s="125"/>
      <c r="J76" s="127"/>
      <c r="K76" s="76"/>
      <c r="M76" s="48"/>
      <c r="N76" s="48"/>
    </row>
    <row r="77" spans="2:14">
      <c r="B77" s="25"/>
      <c r="C77" s="115" t="s">
        <v>125</v>
      </c>
      <c r="D77" s="233"/>
      <c r="E77" s="233"/>
      <c r="F77" s="166"/>
      <c r="G77" s="187"/>
      <c r="H77" s="136"/>
      <c r="I77" s="216"/>
      <c r="J77" s="157"/>
      <c r="K77" s="91"/>
      <c r="M77" s="1"/>
      <c r="N77" s="1"/>
    </row>
    <row r="78" spans="2:14">
      <c r="B78" s="25"/>
      <c r="C78" s="115" t="s">
        <v>126</v>
      </c>
      <c r="D78" s="233"/>
      <c r="E78" s="233"/>
      <c r="F78" s="166"/>
      <c r="G78" s="187"/>
      <c r="H78" s="136"/>
      <c r="I78" s="216"/>
      <c r="J78" s="158"/>
      <c r="K78" s="91"/>
      <c r="M78" s="1"/>
      <c r="N78" s="1"/>
    </row>
    <row r="79" spans="2:14">
      <c r="B79" s="25"/>
      <c r="C79" s="43" t="s">
        <v>127</v>
      </c>
      <c r="D79" s="27"/>
      <c r="E79" s="27"/>
      <c r="F79" s="166"/>
      <c r="G79" s="187"/>
      <c r="H79" s="136"/>
      <c r="I79" s="216"/>
      <c r="J79" s="158"/>
      <c r="K79" s="91"/>
      <c r="M79" s="1"/>
      <c r="N79" s="1"/>
    </row>
    <row r="80" spans="2:14" ht="21.6" customHeight="1">
      <c r="B80" s="25"/>
      <c r="C80" s="43"/>
      <c r="D80" s="27"/>
      <c r="E80" s="27"/>
      <c r="F80" s="166"/>
      <c r="G80" s="187"/>
      <c r="H80" s="136"/>
      <c r="I80" s="216"/>
      <c r="J80" s="158"/>
      <c r="K80" s="91"/>
      <c r="M80" s="1"/>
      <c r="N80" s="1"/>
    </row>
    <row r="81" spans="2:14" ht="16.5" customHeight="1">
      <c r="B81" s="25" t="s">
        <v>130</v>
      </c>
      <c r="C81" s="52" t="s">
        <v>229</v>
      </c>
      <c r="D81" s="53"/>
      <c r="E81" s="69"/>
      <c r="F81" s="107">
        <v>51</v>
      </c>
      <c r="G81" s="194" t="s">
        <v>114</v>
      </c>
      <c r="H81" s="143" t="s">
        <v>77</v>
      </c>
      <c r="I81" s="217">
        <v>500</v>
      </c>
      <c r="J81" s="128" t="s">
        <v>77</v>
      </c>
      <c r="K81" s="76">
        <f>I81*D19</f>
        <v>25500</v>
      </c>
      <c r="M81" s="48"/>
      <c r="N81" s="48"/>
    </row>
    <row r="82" spans="2:14" ht="16.5" customHeight="1">
      <c r="B82" s="25"/>
      <c r="C82" s="52"/>
      <c r="D82" s="53"/>
      <c r="E82" s="53"/>
      <c r="F82" s="70"/>
      <c r="G82" s="228"/>
      <c r="H82" s="143"/>
      <c r="I82" s="217"/>
      <c r="J82" s="128"/>
      <c r="K82" s="76"/>
      <c r="M82" s="48"/>
      <c r="N82" s="48"/>
    </row>
    <row r="83" spans="2:14" ht="16.5" customHeight="1">
      <c r="B83" s="25" t="s">
        <v>131</v>
      </c>
      <c r="C83" s="52" t="s">
        <v>258</v>
      </c>
      <c r="D83" s="53"/>
      <c r="E83" s="53"/>
      <c r="F83" s="42">
        <v>1</v>
      </c>
      <c r="G83" s="54" t="s">
        <v>58</v>
      </c>
      <c r="H83" s="143" t="s">
        <v>132</v>
      </c>
      <c r="I83" s="217">
        <v>10000</v>
      </c>
      <c r="J83" s="128"/>
      <c r="K83" s="76" t="s">
        <v>82</v>
      </c>
      <c r="M83" s="48"/>
      <c r="N83" s="48"/>
    </row>
    <row r="84" spans="2:14" ht="16.5" customHeight="1" thickBot="1">
      <c r="B84" s="25"/>
      <c r="C84" s="52"/>
      <c r="D84" s="53"/>
      <c r="E84" s="53"/>
      <c r="F84" s="70"/>
      <c r="G84" s="228"/>
      <c r="H84" s="143"/>
      <c r="I84" s="217"/>
      <c r="J84" s="128"/>
      <c r="K84" s="76"/>
      <c r="M84" s="48"/>
      <c r="N84" s="48"/>
    </row>
    <row r="85" spans="2:14" ht="16.5" thickBot="1">
      <c r="B85" s="49"/>
      <c r="C85" s="38"/>
      <c r="D85" s="39"/>
      <c r="E85" s="39"/>
      <c r="F85" s="90"/>
      <c r="G85" s="196"/>
      <c r="H85" s="86"/>
      <c r="I85" s="86" t="s">
        <v>24</v>
      </c>
      <c r="J85" s="86" t="s">
        <v>77</v>
      </c>
      <c r="K85" s="87">
        <f>SUM(K74:K84)</f>
        <v>35500</v>
      </c>
    </row>
    <row r="86" spans="2:14" ht="15.75" customHeight="1">
      <c r="B86" s="40" t="s">
        <v>133</v>
      </c>
      <c r="C86" s="14" t="str">
        <f>C26</f>
        <v>Digitalized permit-to-work system (ePTW)</v>
      </c>
      <c r="D86" s="50"/>
      <c r="E86" s="50"/>
      <c r="F86" s="171"/>
      <c r="G86" s="192"/>
      <c r="H86" s="141"/>
      <c r="I86" s="208"/>
      <c r="J86" s="156"/>
      <c r="K86" s="74"/>
      <c r="M86" s="48"/>
      <c r="N86" s="48"/>
    </row>
    <row r="87" spans="2:14" ht="33.6" customHeight="1">
      <c r="B87" s="25"/>
      <c r="C87" s="283" t="s">
        <v>75</v>
      </c>
      <c r="D87" s="284"/>
      <c r="E87" s="285"/>
      <c r="F87" s="168"/>
      <c r="G87" s="189"/>
      <c r="H87" s="138"/>
      <c r="I87" s="206"/>
      <c r="J87" s="117"/>
      <c r="K87" s="82"/>
      <c r="M87" s="1"/>
      <c r="N87" s="1"/>
    </row>
    <row r="88" spans="2:14" ht="18" customHeight="1">
      <c r="B88" s="25"/>
      <c r="C88" s="291" t="s">
        <v>277</v>
      </c>
      <c r="D88" s="292"/>
      <c r="E88" s="293"/>
      <c r="F88" s="168"/>
      <c r="G88" s="189"/>
      <c r="H88" s="138"/>
      <c r="I88" s="206"/>
      <c r="J88" s="229"/>
      <c r="K88" s="82"/>
      <c r="M88" s="1"/>
      <c r="N88" s="1"/>
    </row>
    <row r="89" spans="2:14" ht="12.75" customHeight="1">
      <c r="B89" s="25"/>
      <c r="C89" s="230"/>
      <c r="D89" s="231"/>
      <c r="E89" s="232"/>
      <c r="F89" s="168"/>
      <c r="G89" s="189"/>
      <c r="H89" s="138"/>
      <c r="I89" s="206"/>
      <c r="J89" s="229"/>
      <c r="K89" s="82"/>
      <c r="M89" s="1"/>
      <c r="N89" s="1"/>
    </row>
    <row r="90" spans="2:14" ht="12.75" customHeight="1">
      <c r="B90" s="25"/>
      <c r="C90" s="224"/>
      <c r="D90" s="225"/>
      <c r="E90" s="226"/>
      <c r="F90" s="168"/>
      <c r="G90" s="189"/>
      <c r="H90" s="138"/>
      <c r="I90" s="206"/>
      <c r="J90" s="229"/>
      <c r="K90" s="82"/>
      <c r="M90" s="1"/>
      <c r="N90" s="1"/>
    </row>
    <row r="91" spans="2:14" ht="16.5" customHeight="1">
      <c r="B91" s="25" t="s">
        <v>135</v>
      </c>
      <c r="C91" s="52" t="s">
        <v>67</v>
      </c>
      <c r="D91" s="53"/>
      <c r="E91" s="69"/>
      <c r="F91" s="42">
        <v>1</v>
      </c>
      <c r="G91" s="54" t="s">
        <v>54</v>
      </c>
      <c r="H91" s="127" t="s">
        <v>77</v>
      </c>
      <c r="I91" s="122">
        <v>50000</v>
      </c>
      <c r="J91" s="127" t="s">
        <v>77</v>
      </c>
      <c r="K91" s="76">
        <f>F91*I91</f>
        <v>50000</v>
      </c>
      <c r="M91" s="48"/>
      <c r="N91" s="48"/>
    </row>
    <row r="92" spans="2:14" ht="16.5" customHeight="1">
      <c r="B92" s="25"/>
      <c r="C92" s="51" t="s">
        <v>84</v>
      </c>
      <c r="D92" s="53"/>
      <c r="E92" s="69"/>
      <c r="F92" s="42"/>
      <c r="G92" s="54"/>
      <c r="H92" s="127"/>
      <c r="I92" s="125"/>
      <c r="J92" s="127"/>
      <c r="K92" s="76"/>
      <c r="M92" s="48"/>
      <c r="N92" s="48"/>
    </row>
    <row r="93" spans="2:14">
      <c r="B93" s="25"/>
      <c r="C93" s="43" t="s">
        <v>61</v>
      </c>
      <c r="D93" s="27"/>
      <c r="E93" s="27"/>
      <c r="F93" s="166"/>
      <c r="G93" s="187"/>
      <c r="H93" s="136"/>
      <c r="I93" s="216"/>
      <c r="J93" s="157"/>
      <c r="K93" s="91"/>
      <c r="M93" s="1"/>
      <c r="N93" s="1"/>
    </row>
    <row r="94" spans="2:14">
      <c r="B94" s="25"/>
      <c r="C94" s="43" t="s">
        <v>62</v>
      </c>
      <c r="D94" s="27"/>
      <c r="E94" s="27"/>
      <c r="F94" s="166"/>
      <c r="G94" s="187"/>
      <c r="H94" s="136"/>
      <c r="I94" s="216"/>
      <c r="J94" s="158"/>
      <c r="K94" s="91"/>
      <c r="M94" s="1"/>
      <c r="N94" s="1"/>
    </row>
    <row r="95" spans="2:14">
      <c r="B95" s="25"/>
      <c r="C95" s="43" t="s">
        <v>63</v>
      </c>
      <c r="D95" s="27"/>
      <c r="E95" s="27"/>
      <c r="F95" s="166"/>
      <c r="G95" s="187"/>
      <c r="H95" s="136"/>
      <c r="I95" s="216"/>
      <c r="J95" s="158"/>
      <c r="K95" s="91"/>
      <c r="M95" s="1"/>
      <c r="N95" s="1"/>
    </row>
    <row r="96" spans="2:14" ht="15.6" customHeight="1">
      <c r="B96" s="25"/>
      <c r="C96" s="43" t="s">
        <v>64</v>
      </c>
      <c r="D96" s="43"/>
      <c r="E96" s="43"/>
      <c r="F96" s="166"/>
      <c r="G96" s="187"/>
      <c r="H96" s="136"/>
      <c r="I96" s="216"/>
      <c r="J96" s="158"/>
      <c r="K96" s="91"/>
      <c r="M96" s="1"/>
      <c r="N96" s="1"/>
    </row>
    <row r="97" spans="2:14">
      <c r="B97" s="25"/>
      <c r="C97" s="43" t="s">
        <v>65</v>
      </c>
      <c r="D97" s="27"/>
      <c r="E97" s="27"/>
      <c r="F97" s="166"/>
      <c r="G97" s="187"/>
      <c r="H97" s="136"/>
      <c r="I97" s="216"/>
      <c r="J97" s="158"/>
      <c r="K97" s="91"/>
      <c r="M97" s="1"/>
      <c r="N97" s="1"/>
    </row>
    <row r="98" spans="2:14" ht="16.5" customHeight="1">
      <c r="B98" s="25"/>
      <c r="C98" s="43" t="s">
        <v>66</v>
      </c>
      <c r="D98" s="43"/>
      <c r="E98" s="43"/>
      <c r="F98" s="166"/>
      <c r="G98" s="187"/>
      <c r="H98" s="136"/>
      <c r="I98" s="216"/>
      <c r="J98" s="158"/>
      <c r="K98" s="91"/>
      <c r="M98" s="1"/>
      <c r="N98" s="1"/>
    </row>
    <row r="99" spans="2:14" ht="21.6" customHeight="1">
      <c r="B99" s="25"/>
      <c r="C99" s="43" t="s">
        <v>79</v>
      </c>
      <c r="D99" s="43"/>
      <c r="E99" s="43"/>
      <c r="F99" s="166"/>
      <c r="G99" s="187"/>
      <c r="H99" s="136"/>
      <c r="I99" s="216"/>
      <c r="J99" s="158"/>
      <c r="K99" s="91"/>
      <c r="M99" s="1"/>
      <c r="N99" s="1"/>
    </row>
    <row r="100" spans="2:14" ht="16.5" customHeight="1">
      <c r="B100" s="25"/>
      <c r="C100" s="52"/>
      <c r="D100" s="53"/>
      <c r="E100" s="69"/>
      <c r="F100" s="173"/>
      <c r="G100" s="195"/>
      <c r="H100" s="145"/>
      <c r="I100" s="208"/>
      <c r="J100" s="128"/>
      <c r="K100" s="76"/>
      <c r="M100" s="48"/>
      <c r="N100" s="48"/>
    </row>
    <row r="101" spans="2:14" ht="16.5" customHeight="1">
      <c r="B101" s="25" t="s">
        <v>136</v>
      </c>
      <c r="C101" s="52" t="s">
        <v>261</v>
      </c>
      <c r="D101" s="53"/>
      <c r="E101" s="69"/>
      <c r="F101" s="42">
        <v>51</v>
      </c>
      <c r="G101" s="54" t="s">
        <v>114</v>
      </c>
      <c r="H101" s="127" t="s">
        <v>77</v>
      </c>
      <c r="I101" s="125">
        <v>1000</v>
      </c>
      <c r="J101" s="127" t="s">
        <v>77</v>
      </c>
      <c r="K101" s="76">
        <f>F101*I101</f>
        <v>51000</v>
      </c>
      <c r="M101" s="48"/>
      <c r="N101" s="48"/>
    </row>
    <row r="102" spans="2:14" ht="17.25" customHeight="1">
      <c r="B102" s="25"/>
      <c r="C102" s="43"/>
      <c r="D102" s="27"/>
      <c r="E102" s="27"/>
      <c r="F102" s="166"/>
      <c r="G102" s="187"/>
      <c r="H102" s="136"/>
      <c r="I102" s="216"/>
      <c r="J102" s="158"/>
      <c r="K102" s="91"/>
      <c r="M102" s="1"/>
      <c r="N102" s="1"/>
    </row>
    <row r="103" spans="2:14">
      <c r="B103" s="25" t="s">
        <v>137</v>
      </c>
      <c r="C103" s="52" t="s">
        <v>259</v>
      </c>
      <c r="D103" s="27"/>
      <c r="E103" s="27"/>
      <c r="F103" s="42">
        <v>1</v>
      </c>
      <c r="G103" s="54" t="s">
        <v>138</v>
      </c>
      <c r="H103" s="127" t="s">
        <v>77</v>
      </c>
      <c r="I103" s="125">
        <v>5000</v>
      </c>
      <c r="J103" s="127"/>
      <c r="K103" s="76" t="s">
        <v>139</v>
      </c>
      <c r="M103" s="1"/>
      <c r="N103" s="1"/>
    </row>
    <row r="104" spans="2:14" ht="15.75" customHeight="1">
      <c r="B104" s="25"/>
      <c r="C104" s="43"/>
      <c r="D104" s="27"/>
      <c r="E104" s="27"/>
      <c r="F104" s="166"/>
      <c r="G104" s="187"/>
      <c r="H104" s="136"/>
      <c r="I104" s="216"/>
      <c r="J104" s="158"/>
      <c r="K104" s="91"/>
      <c r="M104" s="1"/>
      <c r="N104" s="1"/>
    </row>
    <row r="105" spans="2:14" ht="17.25" customHeight="1">
      <c r="B105" s="25" t="s">
        <v>140</v>
      </c>
      <c r="C105" s="288" t="s">
        <v>264</v>
      </c>
      <c r="D105" s="289"/>
      <c r="E105" s="290"/>
      <c r="F105" s="42">
        <v>1</v>
      </c>
      <c r="G105" s="54" t="s">
        <v>141</v>
      </c>
      <c r="H105" s="127" t="s">
        <v>77</v>
      </c>
      <c r="I105" s="125">
        <v>5000</v>
      </c>
      <c r="J105" s="127"/>
      <c r="K105" s="76" t="s">
        <v>139</v>
      </c>
      <c r="M105" s="1"/>
      <c r="N105" s="1"/>
    </row>
    <row r="106" spans="2:14" ht="16.5" thickBot="1">
      <c r="B106" s="25"/>
      <c r="C106" s="51"/>
      <c r="D106" s="8"/>
      <c r="E106" s="8"/>
      <c r="F106" s="176"/>
      <c r="G106" s="197"/>
      <c r="H106" s="147"/>
      <c r="I106" s="218"/>
      <c r="J106" s="159"/>
      <c r="K106" s="85"/>
      <c r="M106" s="1"/>
      <c r="N106" s="1"/>
    </row>
    <row r="107" spans="2:14" ht="16.5" thickBot="1">
      <c r="B107" s="49"/>
      <c r="C107" s="38"/>
      <c r="D107" s="39"/>
      <c r="E107" s="39"/>
      <c r="F107" s="90"/>
      <c r="G107" s="196"/>
      <c r="H107" s="86"/>
      <c r="I107" s="86" t="s">
        <v>24</v>
      </c>
      <c r="J107" s="86" t="s">
        <v>77</v>
      </c>
      <c r="K107" s="87">
        <f>SUM(K91:K106)</f>
        <v>101000</v>
      </c>
    </row>
    <row r="108" spans="2:14" ht="15.75" customHeight="1">
      <c r="B108" s="40" t="s">
        <v>85</v>
      </c>
      <c r="C108" s="14" t="str">
        <f>C27</f>
        <v>Electronic lock and key system (E-Lock)</v>
      </c>
      <c r="D108" s="50"/>
      <c r="E108" s="50"/>
      <c r="F108" s="171"/>
      <c r="G108" s="192"/>
      <c r="H108" s="141"/>
      <c r="I108" s="208"/>
      <c r="J108" s="156"/>
      <c r="K108" s="74"/>
      <c r="M108" s="48"/>
      <c r="N108" s="48"/>
    </row>
    <row r="109" spans="2:14" ht="25.5" customHeight="1">
      <c r="B109" s="41"/>
      <c r="C109" s="283" t="s">
        <v>220</v>
      </c>
      <c r="D109" s="284"/>
      <c r="E109" s="285"/>
      <c r="F109" s="171"/>
      <c r="G109" s="192"/>
      <c r="H109" s="141"/>
      <c r="I109" s="208"/>
      <c r="J109" s="123"/>
      <c r="K109" s="76"/>
      <c r="M109" s="48"/>
      <c r="N109" s="48"/>
    </row>
    <row r="110" spans="2:14" ht="15" customHeight="1">
      <c r="B110" s="41"/>
      <c r="C110" s="291" t="s">
        <v>278</v>
      </c>
      <c r="D110" s="292"/>
      <c r="E110" s="293"/>
      <c r="F110" s="171"/>
      <c r="G110" s="192"/>
      <c r="H110" s="141"/>
      <c r="I110" s="208"/>
      <c r="J110" s="123"/>
      <c r="K110" s="76"/>
      <c r="M110" s="48"/>
      <c r="N110" s="48"/>
    </row>
    <row r="111" spans="2:14" ht="15" customHeight="1">
      <c r="B111" s="41"/>
      <c r="C111" s="230"/>
      <c r="D111" s="231"/>
      <c r="E111" s="231"/>
      <c r="F111" s="171"/>
      <c r="G111" s="192"/>
      <c r="H111" s="141"/>
      <c r="I111" s="208"/>
      <c r="J111" s="123"/>
      <c r="K111" s="76"/>
      <c r="M111" s="48"/>
      <c r="N111" s="48"/>
    </row>
    <row r="112" spans="2:14" ht="15" customHeight="1">
      <c r="B112" s="41"/>
      <c r="C112" s="230"/>
      <c r="D112" s="231"/>
      <c r="E112" s="231"/>
      <c r="F112" s="171"/>
      <c r="G112" s="192"/>
      <c r="H112" s="141"/>
      <c r="I112" s="208"/>
      <c r="J112" s="123"/>
      <c r="K112" s="76"/>
      <c r="M112" s="48"/>
      <c r="N112" s="48"/>
    </row>
    <row r="113" spans="2:14">
      <c r="B113" s="25" t="s">
        <v>143</v>
      </c>
      <c r="C113" s="288" t="s">
        <v>67</v>
      </c>
      <c r="D113" s="289"/>
      <c r="E113" s="290"/>
      <c r="F113" s="42">
        <v>1</v>
      </c>
      <c r="G113" s="54" t="s">
        <v>60</v>
      </c>
      <c r="H113" s="70" t="s">
        <v>77</v>
      </c>
      <c r="I113" s="122">
        <v>10000</v>
      </c>
      <c r="J113" s="70" t="s">
        <v>77</v>
      </c>
      <c r="K113" s="76">
        <f>F113*I113</f>
        <v>10000</v>
      </c>
      <c r="M113" s="1"/>
      <c r="N113" s="1"/>
    </row>
    <row r="114" spans="2:14" ht="16.5" customHeight="1">
      <c r="B114" s="25"/>
      <c r="C114" s="52"/>
      <c r="D114" s="53"/>
      <c r="E114" s="69"/>
      <c r="F114" s="174"/>
      <c r="G114" s="195"/>
      <c r="H114" s="145"/>
      <c r="I114" s="208"/>
      <c r="J114" s="128"/>
      <c r="K114" s="76"/>
      <c r="M114" s="48"/>
      <c r="N114" s="48"/>
    </row>
    <row r="115" spans="2:14" ht="16.5" customHeight="1">
      <c r="B115" s="25" t="s">
        <v>144</v>
      </c>
      <c r="C115" s="288" t="s">
        <v>142</v>
      </c>
      <c r="D115" s="289"/>
      <c r="E115" s="290"/>
      <c r="F115" s="42">
        <v>180</v>
      </c>
      <c r="G115" s="54" t="s">
        <v>26</v>
      </c>
      <c r="H115" s="127" t="s">
        <v>77</v>
      </c>
      <c r="I115" s="125">
        <v>1500</v>
      </c>
      <c r="J115" s="70" t="s">
        <v>77</v>
      </c>
      <c r="K115" s="76">
        <f>F115*I115</f>
        <v>270000</v>
      </c>
      <c r="M115" s="48"/>
      <c r="N115" s="48"/>
    </row>
    <row r="116" spans="2:14" ht="15.75" customHeight="1">
      <c r="B116" s="25"/>
      <c r="C116" s="43" t="s">
        <v>68</v>
      </c>
      <c r="D116" s="2"/>
      <c r="F116" s="42"/>
      <c r="G116" s="54"/>
      <c r="H116" s="127"/>
      <c r="I116" s="125"/>
      <c r="J116" s="70"/>
      <c r="K116" s="76"/>
      <c r="M116" s="1"/>
      <c r="N116" s="1"/>
    </row>
    <row r="117" spans="2:14" ht="15.6" customHeight="1">
      <c r="B117" s="25"/>
      <c r="C117" s="294" t="s">
        <v>69</v>
      </c>
      <c r="D117" s="295"/>
      <c r="E117" s="296"/>
      <c r="F117" s="174"/>
      <c r="G117" s="195"/>
      <c r="H117" s="145"/>
      <c r="I117" s="208"/>
      <c r="J117" s="128"/>
      <c r="K117" s="76"/>
      <c r="M117" s="1"/>
      <c r="N117" s="1"/>
    </row>
    <row r="118" spans="2:14" ht="15.6" customHeight="1">
      <c r="B118" s="25"/>
      <c r="C118" s="113" t="s">
        <v>70</v>
      </c>
      <c r="D118" s="2"/>
      <c r="F118" s="174"/>
      <c r="G118" s="195"/>
      <c r="H118" s="145"/>
      <c r="I118" s="208"/>
      <c r="J118" s="128"/>
      <c r="K118" s="76"/>
      <c r="M118" s="1"/>
      <c r="N118" s="1"/>
    </row>
    <row r="119" spans="2:14" ht="15.6" customHeight="1">
      <c r="B119" s="25"/>
      <c r="C119" s="113" t="s">
        <v>71</v>
      </c>
      <c r="D119" s="2"/>
      <c r="F119" s="174"/>
      <c r="G119" s="195"/>
      <c r="H119" s="145"/>
      <c r="I119" s="208"/>
      <c r="J119" s="128"/>
      <c r="K119" s="76"/>
      <c r="M119" s="1"/>
      <c r="N119" s="1"/>
    </row>
    <row r="120" spans="2:14" ht="15.6" customHeight="1">
      <c r="B120" s="25"/>
      <c r="C120" s="113" t="s">
        <v>72</v>
      </c>
      <c r="D120" s="27"/>
      <c r="F120" s="174"/>
      <c r="G120" s="195"/>
      <c r="H120" s="145"/>
      <c r="I120" s="208"/>
      <c r="J120" s="128"/>
      <c r="K120" s="76"/>
      <c r="M120" s="1"/>
      <c r="N120" s="1"/>
    </row>
    <row r="121" spans="2:14" ht="15.6" customHeight="1">
      <c r="B121" s="25"/>
      <c r="C121" s="113" t="s">
        <v>73</v>
      </c>
      <c r="D121" s="27"/>
      <c r="F121" s="174"/>
      <c r="G121" s="195"/>
      <c r="H121" s="145"/>
      <c r="I121" s="208"/>
      <c r="J121" s="128"/>
      <c r="K121" s="76"/>
      <c r="M121" s="1"/>
      <c r="N121" s="1"/>
    </row>
    <row r="122" spans="2:14" ht="15.6" customHeight="1">
      <c r="B122" s="25"/>
      <c r="C122" s="43"/>
      <c r="D122" s="53"/>
      <c r="E122" s="69"/>
      <c r="F122" s="174"/>
      <c r="G122" s="195"/>
      <c r="H122" s="145"/>
      <c r="I122" s="208"/>
      <c r="J122" s="128"/>
      <c r="K122" s="76"/>
      <c r="M122" s="1"/>
      <c r="N122" s="1"/>
    </row>
    <row r="123" spans="2:14" ht="15.6" customHeight="1">
      <c r="B123" s="25" t="s">
        <v>145</v>
      </c>
      <c r="C123" s="52" t="s">
        <v>265</v>
      </c>
      <c r="D123" s="53"/>
      <c r="E123" s="69"/>
      <c r="F123" s="42">
        <v>51</v>
      </c>
      <c r="G123" s="54" t="s">
        <v>114</v>
      </c>
      <c r="H123" s="127" t="s">
        <v>77</v>
      </c>
      <c r="I123" s="125">
        <v>1000</v>
      </c>
      <c r="J123" s="127" t="s">
        <v>77</v>
      </c>
      <c r="K123" s="76">
        <f>F123*I123</f>
        <v>51000</v>
      </c>
      <c r="M123" s="1"/>
      <c r="N123" s="1"/>
    </row>
    <row r="124" spans="2:14" ht="15.6" customHeight="1">
      <c r="B124" s="25"/>
      <c r="C124" s="115"/>
      <c r="D124" s="27"/>
      <c r="E124" s="27"/>
      <c r="F124" s="166"/>
      <c r="G124" s="187"/>
      <c r="H124" s="136"/>
      <c r="I124" s="216"/>
      <c r="J124" s="158"/>
      <c r="K124" s="91"/>
      <c r="M124" s="1"/>
      <c r="N124" s="1"/>
    </row>
    <row r="125" spans="2:14" ht="15.6" customHeight="1">
      <c r="B125" s="25" t="s">
        <v>145</v>
      </c>
      <c r="C125" s="52" t="s">
        <v>146</v>
      </c>
      <c r="D125" s="27"/>
      <c r="E125" s="27"/>
      <c r="F125" s="42">
        <v>1</v>
      </c>
      <c r="G125" s="54" t="s">
        <v>153</v>
      </c>
      <c r="H125" s="127" t="s">
        <v>77</v>
      </c>
      <c r="I125" s="125"/>
      <c r="J125" s="157"/>
      <c r="K125" s="76" t="s">
        <v>139</v>
      </c>
      <c r="M125" s="1"/>
      <c r="N125" s="1"/>
    </row>
    <row r="126" spans="2:14" ht="15.6" customHeight="1">
      <c r="B126" s="235" t="s">
        <v>149</v>
      </c>
      <c r="C126" s="52" t="s">
        <v>147</v>
      </c>
      <c r="D126" s="27"/>
      <c r="E126" s="27"/>
      <c r="F126" s="42">
        <v>1</v>
      </c>
      <c r="G126" s="54" t="s">
        <v>26</v>
      </c>
      <c r="H126" s="136"/>
      <c r="I126" s="216"/>
      <c r="J126" s="158"/>
      <c r="K126" s="91"/>
      <c r="M126" s="1"/>
      <c r="N126" s="1"/>
    </row>
    <row r="127" spans="2:14" ht="15.6" customHeight="1">
      <c r="B127" s="235" t="s">
        <v>150</v>
      </c>
      <c r="C127" s="52" t="s">
        <v>148</v>
      </c>
      <c r="D127" s="27"/>
      <c r="E127" s="27"/>
      <c r="F127" s="42">
        <v>1</v>
      </c>
      <c r="G127" s="54" t="s">
        <v>26</v>
      </c>
      <c r="H127" s="136"/>
      <c r="I127" s="216"/>
      <c r="J127" s="158"/>
      <c r="K127" s="91"/>
      <c r="M127" s="1"/>
      <c r="N127" s="1"/>
    </row>
    <row r="128" spans="2:14" ht="15.6" customHeight="1">
      <c r="B128" s="235" t="s">
        <v>151</v>
      </c>
      <c r="C128" s="52" t="s">
        <v>154</v>
      </c>
      <c r="D128" s="27"/>
      <c r="E128" s="27"/>
      <c r="F128" s="42">
        <v>1</v>
      </c>
      <c r="G128" s="54" t="s">
        <v>222</v>
      </c>
      <c r="H128" s="136"/>
      <c r="I128" s="216"/>
      <c r="J128" s="158"/>
      <c r="K128" s="91"/>
      <c r="M128" s="1"/>
      <c r="N128" s="1"/>
    </row>
    <row r="129" spans="2:14" ht="16.5" customHeight="1">
      <c r="B129" s="25"/>
      <c r="C129" s="43" t="s">
        <v>152</v>
      </c>
      <c r="D129" s="43"/>
      <c r="E129" s="27"/>
      <c r="F129" s="286"/>
      <c r="G129" s="287"/>
      <c r="H129" s="143"/>
      <c r="I129" s="217"/>
      <c r="J129" s="124"/>
      <c r="K129" s="76"/>
      <c r="M129" s="48"/>
      <c r="N129" s="48"/>
    </row>
    <row r="130" spans="2:14" ht="16.5" thickBot="1">
      <c r="B130" s="25"/>
      <c r="C130" s="51"/>
      <c r="D130" s="8"/>
      <c r="E130" s="8"/>
      <c r="F130" s="176"/>
      <c r="G130" s="197"/>
      <c r="H130" s="147"/>
      <c r="I130" s="218"/>
      <c r="J130" s="159"/>
      <c r="K130" s="85"/>
      <c r="M130" s="1"/>
      <c r="N130" s="1"/>
    </row>
    <row r="131" spans="2:14" ht="16.5" thickBot="1">
      <c r="B131" s="49"/>
      <c r="C131" s="38"/>
      <c r="D131" s="39"/>
      <c r="E131" s="39"/>
      <c r="F131" s="90"/>
      <c r="G131" s="196"/>
      <c r="H131" s="86"/>
      <c r="I131" s="86" t="s">
        <v>24</v>
      </c>
      <c r="J131" s="97" t="s">
        <v>77</v>
      </c>
      <c r="K131" s="98">
        <f>SUM(K113:K130)</f>
        <v>331000</v>
      </c>
    </row>
    <row r="132" spans="2:14" ht="15.75" customHeight="1">
      <c r="B132" s="40" t="s">
        <v>86</v>
      </c>
      <c r="C132" s="14" t="str">
        <f>C28</f>
        <v>Unsafe Acts / Dangerous situation alert - Mobile plant</v>
      </c>
      <c r="D132" s="50"/>
      <c r="E132" s="50"/>
      <c r="F132" s="171"/>
      <c r="G132" s="192"/>
      <c r="H132" s="141"/>
      <c r="I132" s="208"/>
      <c r="J132" s="156"/>
      <c r="K132" s="74"/>
      <c r="M132" s="48"/>
      <c r="N132" s="48"/>
    </row>
    <row r="133" spans="2:14" ht="30" customHeight="1">
      <c r="B133" s="41"/>
      <c r="C133" s="283" t="s">
        <v>166</v>
      </c>
      <c r="D133" s="284"/>
      <c r="E133" s="285"/>
      <c r="F133" s="171"/>
      <c r="G133" s="192"/>
      <c r="H133" s="141"/>
      <c r="I133" s="208"/>
      <c r="J133" s="123"/>
      <c r="K133" s="76"/>
      <c r="M133" s="48"/>
      <c r="N133" s="48"/>
    </row>
    <row r="134" spans="2:14" ht="15.75" customHeight="1">
      <c r="B134" s="41"/>
      <c r="C134" s="224"/>
      <c r="D134" s="225"/>
      <c r="E134" s="226"/>
      <c r="F134" s="171"/>
      <c r="G134" s="192"/>
      <c r="H134" s="141"/>
      <c r="I134" s="208"/>
      <c r="J134" s="223"/>
      <c r="K134" s="76"/>
      <c r="M134" s="48"/>
      <c r="N134" s="48"/>
    </row>
    <row r="135" spans="2:14" ht="14.25" customHeight="1">
      <c r="B135" s="25" t="s">
        <v>161</v>
      </c>
      <c r="C135" s="297" t="s">
        <v>67</v>
      </c>
      <c r="D135" s="262"/>
      <c r="E135" s="298"/>
      <c r="F135" s="42">
        <v>1</v>
      </c>
      <c r="G135" s="54" t="s">
        <v>60</v>
      </c>
      <c r="H135" s="70" t="s">
        <v>77</v>
      </c>
      <c r="I135" s="122">
        <v>10000</v>
      </c>
      <c r="J135" s="70" t="s">
        <v>77</v>
      </c>
      <c r="K135" s="76">
        <f>F135*I135</f>
        <v>10000</v>
      </c>
      <c r="M135" s="48"/>
      <c r="N135" s="48"/>
    </row>
    <row r="136" spans="2:14" ht="12" customHeight="1">
      <c r="B136" s="41"/>
      <c r="C136" s="52"/>
      <c r="D136" s="53"/>
      <c r="E136" s="69"/>
      <c r="F136" s="171"/>
      <c r="G136" s="192"/>
      <c r="H136" s="141"/>
      <c r="I136" s="208"/>
      <c r="J136" s="223"/>
      <c r="K136" s="76"/>
      <c r="M136" s="48"/>
      <c r="N136" s="48"/>
    </row>
    <row r="137" spans="2:14" ht="12" customHeight="1">
      <c r="B137" s="25" t="s">
        <v>162</v>
      </c>
      <c r="C137" s="297" t="s">
        <v>271</v>
      </c>
      <c r="D137" s="262"/>
      <c r="E137" s="298"/>
      <c r="F137" s="42">
        <v>51</v>
      </c>
      <c r="G137" s="54" t="s">
        <v>114</v>
      </c>
      <c r="H137" s="70" t="s">
        <v>77</v>
      </c>
      <c r="I137" s="122">
        <v>3000</v>
      </c>
      <c r="J137" s="70" t="s">
        <v>77</v>
      </c>
      <c r="K137" s="76">
        <f>F137*I137</f>
        <v>153000</v>
      </c>
      <c r="M137" s="48"/>
      <c r="N137" s="48"/>
    </row>
    <row r="138" spans="2:14" ht="12" customHeight="1">
      <c r="B138" s="41"/>
      <c r="C138" s="43"/>
      <c r="D138" s="27"/>
      <c r="E138" s="27"/>
      <c r="F138" s="171"/>
      <c r="G138" s="192"/>
      <c r="H138" s="141"/>
      <c r="I138" s="208"/>
      <c r="J138" s="223"/>
      <c r="K138" s="76"/>
      <c r="M138" s="48"/>
      <c r="N138" s="48"/>
    </row>
    <row r="139" spans="2:14" ht="12" customHeight="1">
      <c r="B139" s="25" t="s">
        <v>163</v>
      </c>
      <c r="C139" s="42" t="s">
        <v>244</v>
      </c>
      <c r="F139" s="42">
        <v>10</v>
      </c>
      <c r="G139" s="54" t="s">
        <v>26</v>
      </c>
      <c r="H139" s="70" t="s">
        <v>77</v>
      </c>
      <c r="I139" s="122">
        <v>15000</v>
      </c>
      <c r="J139" s="70" t="s">
        <v>77</v>
      </c>
      <c r="K139" s="76">
        <f>F139*I139</f>
        <v>150000</v>
      </c>
      <c r="M139" s="48"/>
      <c r="N139" s="48"/>
    </row>
    <row r="140" spans="2:14" ht="12" customHeight="1">
      <c r="B140" s="41"/>
      <c r="C140" s="43" t="s">
        <v>157</v>
      </c>
      <c r="D140" s="2"/>
      <c r="F140" s="171"/>
      <c r="G140" s="192"/>
      <c r="H140" s="141"/>
      <c r="I140" s="208"/>
      <c r="J140" s="223"/>
      <c r="K140" s="76"/>
      <c r="M140" s="48"/>
      <c r="N140" s="48"/>
    </row>
    <row r="141" spans="2:14" ht="12" customHeight="1">
      <c r="B141" s="41"/>
      <c r="C141" s="43" t="s">
        <v>158</v>
      </c>
      <c r="D141" s="2"/>
      <c r="F141" s="171"/>
      <c r="G141" s="192"/>
      <c r="H141" s="141"/>
      <c r="I141" s="208"/>
      <c r="J141" s="223"/>
      <c r="K141" s="76"/>
      <c r="M141" s="48"/>
      <c r="N141" s="48"/>
    </row>
    <row r="142" spans="2:14" ht="12" customHeight="1">
      <c r="B142" s="41"/>
      <c r="C142" s="43" t="s">
        <v>159</v>
      </c>
      <c r="D142" s="2"/>
      <c r="F142" s="171"/>
      <c r="G142" s="192"/>
      <c r="H142" s="141"/>
      <c r="I142" s="208"/>
      <c r="J142" s="223"/>
      <c r="K142" s="76"/>
      <c r="M142" s="48"/>
      <c r="N142" s="48"/>
    </row>
    <row r="143" spans="2:14" ht="12" customHeight="1">
      <c r="B143" s="41"/>
      <c r="C143" s="43" t="s">
        <v>245</v>
      </c>
      <c r="D143" s="2"/>
      <c r="F143" s="171"/>
      <c r="G143" s="192"/>
      <c r="H143" s="141"/>
      <c r="I143" s="208"/>
      <c r="J143" s="223"/>
      <c r="K143" s="76"/>
      <c r="M143" s="48"/>
      <c r="N143" s="48"/>
    </row>
    <row r="144" spans="2:14" ht="12" customHeight="1">
      <c r="B144" s="41"/>
      <c r="C144" s="43" t="s">
        <v>160</v>
      </c>
      <c r="D144" s="2"/>
      <c r="F144" s="171"/>
      <c r="G144" s="192"/>
      <c r="H144" s="141"/>
      <c r="I144" s="208"/>
      <c r="J144" s="223"/>
      <c r="K144" s="76"/>
      <c r="M144" s="48"/>
      <c r="N144" s="48"/>
    </row>
    <row r="145" spans="2:14" ht="12" customHeight="1">
      <c r="B145" s="41"/>
      <c r="C145" s="113"/>
      <c r="D145" s="2"/>
      <c r="F145" s="171"/>
      <c r="G145" s="192"/>
      <c r="H145" s="141"/>
      <c r="I145" s="208"/>
      <c r="J145" s="223"/>
      <c r="K145" s="76"/>
      <c r="M145" s="48"/>
      <c r="N145" s="48"/>
    </row>
    <row r="146" spans="2:14" ht="12" customHeight="1">
      <c r="B146" s="25" t="s">
        <v>164</v>
      </c>
      <c r="C146" s="297" t="s">
        <v>243</v>
      </c>
      <c r="D146" s="262"/>
      <c r="E146" s="298"/>
      <c r="F146" s="42">
        <v>10</v>
      </c>
      <c r="G146" s="54" t="s">
        <v>240</v>
      </c>
      <c r="H146" s="127" t="s">
        <v>132</v>
      </c>
      <c r="I146" s="208">
        <v>8000</v>
      </c>
      <c r="J146" s="127" t="s">
        <v>132</v>
      </c>
      <c r="K146" s="76">
        <f>I146*F146</f>
        <v>80000</v>
      </c>
      <c r="M146" s="237"/>
      <c r="N146" s="237"/>
    </row>
    <row r="147" spans="2:14" ht="12" customHeight="1">
      <c r="B147" s="41"/>
      <c r="C147" s="51"/>
      <c r="D147" s="8"/>
      <c r="E147" s="112"/>
      <c r="F147" s="171"/>
      <c r="G147" s="192"/>
      <c r="H147" s="141"/>
      <c r="I147" s="208"/>
      <c r="J147" s="223"/>
      <c r="K147" s="76"/>
      <c r="M147" s="48"/>
      <c r="N147" s="48"/>
    </row>
    <row r="148" spans="2:14" ht="12" customHeight="1">
      <c r="B148" s="25" t="s">
        <v>165</v>
      </c>
      <c r="C148" s="297" t="s">
        <v>265</v>
      </c>
      <c r="D148" s="262"/>
      <c r="E148" s="298"/>
      <c r="F148" s="42">
        <v>51</v>
      </c>
      <c r="G148" s="54" t="s">
        <v>114</v>
      </c>
      <c r="H148" s="127" t="s">
        <v>77</v>
      </c>
      <c r="I148" s="125">
        <v>1000</v>
      </c>
      <c r="J148" s="127" t="s">
        <v>77</v>
      </c>
      <c r="K148" s="76">
        <f>F148*I148</f>
        <v>51000</v>
      </c>
      <c r="M148" s="48"/>
      <c r="N148" s="48"/>
    </row>
    <row r="149" spans="2:14" ht="12" customHeight="1">
      <c r="B149" s="41"/>
      <c r="C149" s="224"/>
      <c r="D149" s="225"/>
      <c r="E149" s="226"/>
      <c r="F149" s="171"/>
      <c r="G149" s="192"/>
      <c r="H149" s="141"/>
      <c r="I149" s="208"/>
      <c r="J149" s="223"/>
      <c r="K149" s="76"/>
      <c r="M149" s="48"/>
      <c r="N149" s="48"/>
    </row>
    <row r="150" spans="2:14" ht="12" customHeight="1">
      <c r="B150" s="41"/>
      <c r="C150" s="224"/>
      <c r="D150" s="225"/>
      <c r="E150" s="226"/>
      <c r="F150" s="171"/>
      <c r="G150" s="192"/>
      <c r="H150" s="141"/>
      <c r="I150" s="208"/>
      <c r="J150" s="223"/>
      <c r="K150" s="76"/>
      <c r="M150" s="48"/>
      <c r="N150" s="48"/>
    </row>
    <row r="151" spans="2:14" ht="12" customHeight="1" thickBot="1">
      <c r="B151" s="25"/>
      <c r="C151" s="51"/>
      <c r="D151" s="8"/>
      <c r="E151" s="8"/>
      <c r="F151" s="176"/>
      <c r="G151" s="197"/>
      <c r="H151" s="147"/>
      <c r="I151" s="218"/>
      <c r="J151" s="159"/>
      <c r="K151" s="76"/>
      <c r="M151" s="1"/>
      <c r="N151" s="1"/>
    </row>
    <row r="152" spans="2:14" ht="16.5" thickBot="1">
      <c r="B152" s="49"/>
      <c r="C152" s="38"/>
      <c r="D152" s="39"/>
      <c r="E152" s="39"/>
      <c r="F152" s="90"/>
      <c r="G152" s="196"/>
      <c r="H152" s="90"/>
      <c r="I152" s="210"/>
      <c r="J152" s="97" t="s">
        <v>77</v>
      </c>
      <c r="K152" s="87">
        <f>SUM(K135:K148)</f>
        <v>444000</v>
      </c>
    </row>
    <row r="153" spans="2:14" ht="15.75" customHeight="1">
      <c r="B153" s="40" t="s">
        <v>87</v>
      </c>
      <c r="C153" s="14" t="str">
        <f>C29</f>
        <v>Unsafe Acts / Dangerous situation alert - Tower crane</v>
      </c>
      <c r="D153" s="50"/>
      <c r="E153" s="50"/>
      <c r="F153" s="171"/>
      <c r="G153" s="192"/>
      <c r="H153" s="141"/>
      <c r="I153" s="208"/>
      <c r="J153" s="156"/>
      <c r="K153" s="74"/>
      <c r="M153" s="48"/>
      <c r="N153" s="48"/>
    </row>
    <row r="154" spans="2:14" ht="30" customHeight="1">
      <c r="B154" s="41"/>
      <c r="C154" s="283" t="s">
        <v>155</v>
      </c>
      <c r="D154" s="284"/>
      <c r="E154" s="285"/>
      <c r="F154" s="171"/>
      <c r="G154" s="192"/>
      <c r="H154" s="141"/>
      <c r="I154" s="208"/>
      <c r="J154" s="123"/>
      <c r="K154" s="76"/>
      <c r="M154" s="48"/>
      <c r="N154" s="48"/>
    </row>
    <row r="155" spans="2:14" ht="15.75" customHeight="1">
      <c r="B155" s="41"/>
      <c r="C155" s="224"/>
      <c r="D155" s="225"/>
      <c r="E155" s="226"/>
      <c r="F155" s="171"/>
      <c r="G155" s="192"/>
      <c r="H155" s="141"/>
      <c r="I155" s="208"/>
      <c r="J155" s="223"/>
      <c r="K155" s="76"/>
      <c r="M155" s="48"/>
      <c r="N155" s="48"/>
    </row>
    <row r="156" spans="2:14" ht="15.75" customHeight="1">
      <c r="B156" s="41"/>
      <c r="C156" s="224"/>
      <c r="D156" s="225"/>
      <c r="E156" s="226"/>
      <c r="F156" s="171"/>
      <c r="G156" s="192"/>
      <c r="H156" s="141"/>
      <c r="I156" s="208"/>
      <c r="J156" s="223"/>
      <c r="K156" s="76"/>
      <c r="M156" s="48"/>
      <c r="N156" s="48"/>
    </row>
    <row r="157" spans="2:14" ht="14.25" customHeight="1">
      <c r="B157" s="25" t="s">
        <v>167</v>
      </c>
      <c r="C157" s="297" t="s">
        <v>67</v>
      </c>
      <c r="D157" s="262"/>
      <c r="E157" s="298"/>
      <c r="F157" s="42">
        <v>1</v>
      </c>
      <c r="G157" s="54" t="s">
        <v>60</v>
      </c>
      <c r="H157" s="70" t="s">
        <v>77</v>
      </c>
      <c r="I157" s="122">
        <v>10000</v>
      </c>
      <c r="J157" s="70" t="s">
        <v>77</v>
      </c>
      <c r="K157" s="76">
        <f>F157*I157</f>
        <v>10000</v>
      </c>
      <c r="M157" s="48"/>
      <c r="N157" s="48"/>
    </row>
    <row r="158" spans="2:14" ht="12" customHeight="1">
      <c r="B158" s="41"/>
      <c r="C158" s="52"/>
      <c r="D158" s="53"/>
      <c r="E158" s="69"/>
      <c r="F158" s="171"/>
      <c r="G158" s="192"/>
      <c r="H158" s="141"/>
      <c r="I158" s="208"/>
      <c r="J158" s="223"/>
      <c r="K158" s="76"/>
      <c r="M158" s="48"/>
      <c r="N158" s="48"/>
    </row>
    <row r="159" spans="2:14" ht="12" customHeight="1">
      <c r="B159" s="41"/>
      <c r="C159" s="43"/>
      <c r="D159" s="27"/>
      <c r="E159" s="27"/>
      <c r="F159" s="171"/>
      <c r="G159" s="192"/>
      <c r="H159" s="141"/>
      <c r="I159" s="208"/>
      <c r="J159" s="223"/>
      <c r="K159" s="76"/>
      <c r="M159" s="48"/>
      <c r="N159" s="48"/>
    </row>
    <row r="160" spans="2:14" ht="12" customHeight="1">
      <c r="B160" s="25" t="s">
        <v>168</v>
      </c>
      <c r="C160" s="42" t="s">
        <v>156</v>
      </c>
      <c r="F160" s="42"/>
      <c r="G160" s="54"/>
      <c r="H160" s="70"/>
      <c r="I160" s="122"/>
      <c r="J160" s="70"/>
      <c r="K160" s="76"/>
      <c r="M160" s="48"/>
      <c r="N160" s="48"/>
    </row>
    <row r="161" spans="2:14" s="253" customFormat="1" ht="15" customHeight="1">
      <c r="B161" s="252"/>
      <c r="C161" s="43" t="s">
        <v>272</v>
      </c>
      <c r="E161" s="254"/>
      <c r="F161" s="42">
        <v>6</v>
      </c>
      <c r="G161" s="54" t="s">
        <v>26</v>
      </c>
      <c r="H161" s="70" t="s">
        <v>77</v>
      </c>
      <c r="I161" s="122">
        <v>10000</v>
      </c>
      <c r="J161" s="70" t="s">
        <v>77</v>
      </c>
      <c r="K161" s="76">
        <f>F161*I161</f>
        <v>60000</v>
      </c>
      <c r="M161" s="48"/>
      <c r="N161" s="48"/>
    </row>
    <row r="162" spans="2:14" s="253" customFormat="1" ht="15" customHeight="1">
      <c r="B162" s="252"/>
      <c r="C162" s="43" t="s">
        <v>246</v>
      </c>
      <c r="E162" s="254"/>
      <c r="F162" s="42">
        <v>6</v>
      </c>
      <c r="G162" s="54" t="s">
        <v>26</v>
      </c>
      <c r="H162" s="70" t="s">
        <v>77</v>
      </c>
      <c r="I162" s="122">
        <v>18000</v>
      </c>
      <c r="J162" s="70" t="s">
        <v>77</v>
      </c>
      <c r="K162" s="76">
        <f>F162*I162</f>
        <v>108000</v>
      </c>
      <c r="M162" s="48"/>
      <c r="N162" s="48"/>
    </row>
    <row r="163" spans="2:14" s="253" customFormat="1" ht="15" customHeight="1">
      <c r="B163" s="252"/>
      <c r="C163" s="43" t="s">
        <v>247</v>
      </c>
      <c r="E163" s="254"/>
      <c r="F163" s="42">
        <v>18</v>
      </c>
      <c r="G163" s="54" t="s">
        <v>26</v>
      </c>
      <c r="H163" s="70" t="s">
        <v>77</v>
      </c>
      <c r="I163" s="122">
        <v>1800</v>
      </c>
      <c r="J163" s="70" t="s">
        <v>77</v>
      </c>
      <c r="K163" s="76">
        <f>F163*I163</f>
        <v>32400</v>
      </c>
      <c r="M163" s="48"/>
      <c r="N163" s="48"/>
    </row>
    <row r="164" spans="2:14" s="253" customFormat="1" ht="15" customHeight="1">
      <c r="B164" s="252"/>
      <c r="C164" s="43" t="s">
        <v>248</v>
      </c>
      <c r="E164" s="254"/>
      <c r="F164" s="42">
        <v>12</v>
      </c>
      <c r="G164" s="54" t="s">
        <v>26</v>
      </c>
      <c r="H164" s="70" t="s">
        <v>77</v>
      </c>
      <c r="I164" s="122">
        <v>10000</v>
      </c>
      <c r="J164" s="70" t="s">
        <v>77</v>
      </c>
      <c r="K164" s="76">
        <f>F164*I164</f>
        <v>120000</v>
      </c>
      <c r="M164" s="48"/>
      <c r="N164" s="48"/>
    </row>
    <row r="165" spans="2:14" s="253" customFormat="1" ht="15" customHeight="1">
      <c r="B165" s="252"/>
      <c r="C165" s="43" t="s">
        <v>249</v>
      </c>
      <c r="E165" s="254"/>
      <c r="F165" s="42">
        <v>6</v>
      </c>
      <c r="G165" s="54" t="s">
        <v>26</v>
      </c>
      <c r="H165" s="70" t="s">
        <v>77</v>
      </c>
      <c r="I165" s="122">
        <v>1500</v>
      </c>
      <c r="J165" s="70" t="s">
        <v>77</v>
      </c>
      <c r="K165" s="76">
        <f>F165*I165</f>
        <v>9000</v>
      </c>
      <c r="M165" s="48"/>
      <c r="N165" s="48"/>
    </row>
    <row r="166" spans="2:14" s="253" customFormat="1" ht="15" customHeight="1">
      <c r="B166" s="252"/>
      <c r="C166" s="43"/>
      <c r="E166" s="254"/>
      <c r="F166" s="42"/>
      <c r="G166" s="54"/>
      <c r="H166" s="70"/>
      <c r="I166" s="122"/>
      <c r="J166" s="228"/>
      <c r="K166" s="76"/>
      <c r="M166" s="48"/>
      <c r="N166" s="48"/>
    </row>
    <row r="167" spans="2:14" ht="12" customHeight="1">
      <c r="B167" s="41"/>
      <c r="C167" s="43"/>
      <c r="D167" s="2"/>
      <c r="E167" s="254"/>
      <c r="F167" s="171"/>
      <c r="G167" s="192"/>
      <c r="H167" s="141"/>
      <c r="I167" s="208"/>
      <c r="J167" s="223"/>
      <c r="K167" s="76"/>
      <c r="M167" s="48"/>
      <c r="N167" s="48"/>
    </row>
    <row r="168" spans="2:14" ht="12" customHeight="1">
      <c r="B168" s="25" t="s">
        <v>169</v>
      </c>
      <c r="C168" s="297" t="s">
        <v>250</v>
      </c>
      <c r="D168" s="262"/>
      <c r="E168" s="298"/>
      <c r="F168" s="42">
        <v>10</v>
      </c>
      <c r="G168" s="54" t="s">
        <v>240</v>
      </c>
      <c r="H168" s="127" t="s">
        <v>132</v>
      </c>
      <c r="I168" s="208">
        <v>8000</v>
      </c>
      <c r="J168" s="127" t="s">
        <v>132</v>
      </c>
      <c r="K168" s="76">
        <f>I168*F168</f>
        <v>80000</v>
      </c>
      <c r="M168" s="237"/>
      <c r="N168" s="237"/>
    </row>
    <row r="169" spans="2:14" ht="12" customHeight="1">
      <c r="B169" s="25"/>
      <c r="C169" s="251"/>
      <c r="D169" s="227"/>
      <c r="E169" s="236"/>
      <c r="F169" s="42"/>
      <c r="G169" s="54"/>
      <c r="H169" s="127"/>
      <c r="I169" s="208"/>
      <c r="J169" s="255"/>
      <c r="K169" s="76"/>
      <c r="M169" s="237"/>
      <c r="N169" s="237"/>
    </row>
    <row r="170" spans="2:14" ht="12" customHeight="1">
      <c r="B170" s="41"/>
      <c r="C170" s="51"/>
      <c r="D170" s="8"/>
      <c r="E170" s="112"/>
      <c r="F170" s="171"/>
      <c r="G170" s="192"/>
      <c r="H170" s="141"/>
      <c r="I170" s="208"/>
      <c r="J170" s="223"/>
      <c r="K170" s="76"/>
      <c r="M170" s="48"/>
      <c r="N170" s="48"/>
    </row>
    <row r="171" spans="2:14" ht="12" customHeight="1">
      <c r="B171" s="25" t="s">
        <v>170</v>
      </c>
      <c r="C171" s="297" t="s">
        <v>265</v>
      </c>
      <c r="D171" s="262"/>
      <c r="E171" s="298"/>
      <c r="F171" s="42">
        <v>51</v>
      </c>
      <c r="G171" s="54" t="s">
        <v>114</v>
      </c>
      <c r="H171" s="127" t="s">
        <v>132</v>
      </c>
      <c r="I171" s="208">
        <v>1000</v>
      </c>
      <c r="J171" s="127" t="s">
        <v>132</v>
      </c>
      <c r="K171" s="76">
        <f>I171*F171</f>
        <v>51000</v>
      </c>
      <c r="M171" s="48"/>
      <c r="N171" s="48"/>
    </row>
    <row r="172" spans="2:14" ht="12" customHeight="1">
      <c r="B172" s="41"/>
      <c r="C172" s="224"/>
      <c r="D172" s="225"/>
      <c r="E172" s="226"/>
      <c r="F172" s="171"/>
      <c r="G172" s="192"/>
      <c r="H172" s="141"/>
      <c r="I172" s="208"/>
      <c r="J172" s="223"/>
      <c r="K172" s="76"/>
      <c r="M172" s="48"/>
      <c r="N172" s="48"/>
    </row>
    <row r="173" spans="2:14" ht="12" customHeight="1">
      <c r="B173" s="41"/>
      <c r="C173" s="224"/>
      <c r="D173" s="225"/>
      <c r="E173" s="226"/>
      <c r="F173" s="171"/>
      <c r="G173" s="192"/>
      <c r="H173" s="141"/>
      <c r="I173" s="208"/>
      <c r="J173" s="223"/>
      <c r="K173" s="76"/>
      <c r="M173" s="48"/>
      <c r="N173" s="48"/>
    </row>
    <row r="174" spans="2:14" ht="16.5" customHeight="1">
      <c r="B174" s="25" t="s">
        <v>223</v>
      </c>
      <c r="C174" s="52" t="s">
        <v>224</v>
      </c>
      <c r="D174" s="27"/>
      <c r="E174" s="27"/>
      <c r="F174" s="42">
        <v>1</v>
      </c>
      <c r="G174" s="54" t="s">
        <v>153</v>
      </c>
      <c r="H174" s="127" t="s">
        <v>77</v>
      </c>
      <c r="I174" s="125"/>
      <c r="J174" s="157"/>
      <c r="K174" s="76" t="s">
        <v>139</v>
      </c>
      <c r="M174" s="237"/>
      <c r="N174" s="237"/>
    </row>
    <row r="175" spans="2:14" ht="15.75" customHeight="1">
      <c r="B175" s="235" t="s">
        <v>225</v>
      </c>
      <c r="C175" s="52" t="s">
        <v>148</v>
      </c>
      <c r="D175" s="32"/>
      <c r="E175" s="32"/>
      <c r="F175" s="42">
        <v>1</v>
      </c>
      <c r="G175" s="54" t="s">
        <v>26</v>
      </c>
      <c r="H175" s="136"/>
      <c r="I175" s="216"/>
      <c r="J175" s="158"/>
      <c r="K175" s="91"/>
      <c r="M175" s="237"/>
      <c r="N175" s="237"/>
    </row>
    <row r="176" spans="2:14" ht="15.75" customHeight="1">
      <c r="B176" s="235" t="s">
        <v>226</v>
      </c>
      <c r="C176" s="52" t="s">
        <v>154</v>
      </c>
      <c r="D176" s="32"/>
      <c r="E176" s="32"/>
      <c r="F176" s="42">
        <v>1</v>
      </c>
      <c r="G176" s="54" t="s">
        <v>222</v>
      </c>
      <c r="H176" s="136"/>
      <c r="I176" s="216"/>
      <c r="J176" s="158"/>
      <c r="K176" s="91"/>
      <c r="M176" s="48"/>
      <c r="N176" s="48"/>
    </row>
    <row r="177" spans="2:14" ht="15.75" customHeight="1">
      <c r="B177" s="25"/>
      <c r="C177" s="241" t="s">
        <v>227</v>
      </c>
      <c r="D177" s="241"/>
      <c r="E177" s="32"/>
      <c r="F177" s="286"/>
      <c r="G177" s="287"/>
      <c r="H177" s="143"/>
      <c r="I177" s="217"/>
      <c r="J177" s="124"/>
      <c r="K177" s="76"/>
      <c r="M177" s="48"/>
      <c r="N177" s="48"/>
    </row>
    <row r="178" spans="2:14" ht="12" customHeight="1">
      <c r="B178" s="25"/>
      <c r="C178" s="283"/>
      <c r="D178" s="284"/>
      <c r="E178" s="285"/>
      <c r="F178" s="173"/>
      <c r="G178" s="195"/>
      <c r="H178" s="126"/>
      <c r="I178" s="89"/>
      <c r="J178" s="128"/>
      <c r="K178" s="76"/>
      <c r="M178" s="48"/>
      <c r="N178" s="48"/>
    </row>
    <row r="179" spans="2:14" ht="12" customHeight="1" thickBot="1">
      <c r="B179" s="25"/>
      <c r="C179" s="51"/>
      <c r="D179" s="8"/>
      <c r="E179" s="8"/>
      <c r="F179" s="176"/>
      <c r="G179" s="197"/>
      <c r="H179" s="147"/>
      <c r="I179" s="218"/>
      <c r="J179" s="159"/>
      <c r="K179" s="76"/>
      <c r="M179" s="1"/>
      <c r="N179" s="1"/>
    </row>
    <row r="180" spans="2:14" ht="16.5" thickBot="1">
      <c r="B180" s="49"/>
      <c r="C180" s="38"/>
      <c r="D180" s="39"/>
      <c r="E180" s="39"/>
      <c r="F180" s="90"/>
      <c r="G180" s="196"/>
      <c r="H180" s="90"/>
      <c r="I180" s="210"/>
      <c r="J180" s="97" t="s">
        <v>77</v>
      </c>
      <c r="K180" s="87">
        <f>SUM(K157:K174)</f>
        <v>470400</v>
      </c>
    </row>
    <row r="181" spans="2:14" ht="15.75" customHeight="1">
      <c r="B181" s="40" t="s">
        <v>88</v>
      </c>
      <c r="C181" s="14" t="str">
        <f>C30</f>
        <v>Smart monitoring devices for workers and frontline site personnel - watch</v>
      </c>
      <c r="D181" s="50"/>
      <c r="E181" s="50"/>
      <c r="F181" s="171"/>
      <c r="G181" s="192"/>
      <c r="H181" s="141"/>
      <c r="I181" s="208"/>
      <c r="J181" s="156"/>
      <c r="K181" s="74"/>
      <c r="M181" s="48"/>
      <c r="N181" s="48"/>
    </row>
    <row r="182" spans="2:14" ht="30" customHeight="1">
      <c r="B182" s="41"/>
      <c r="C182" s="283" t="s">
        <v>171</v>
      </c>
      <c r="D182" s="284"/>
      <c r="E182" s="285"/>
      <c r="F182" s="171"/>
      <c r="G182" s="192"/>
      <c r="H182" s="141"/>
      <c r="I182" s="208"/>
      <c r="J182" s="123"/>
      <c r="K182" s="76"/>
      <c r="M182" s="48"/>
      <c r="N182" s="48"/>
    </row>
    <row r="183" spans="2:14" ht="15.75" customHeight="1">
      <c r="B183" s="41"/>
      <c r="C183" s="291" t="s">
        <v>279</v>
      </c>
      <c r="D183" s="292"/>
      <c r="E183" s="293"/>
      <c r="F183" s="171"/>
      <c r="G183" s="192"/>
      <c r="H183" s="141"/>
      <c r="I183" s="208"/>
      <c r="J183" s="223"/>
      <c r="K183" s="76"/>
      <c r="M183" s="48"/>
      <c r="N183" s="48"/>
    </row>
    <row r="184" spans="2:14" ht="15.75" customHeight="1">
      <c r="B184" s="41"/>
      <c r="C184" s="224"/>
      <c r="D184" s="225"/>
      <c r="E184" s="226"/>
      <c r="F184" s="171"/>
      <c r="G184" s="192"/>
      <c r="H184" s="141"/>
      <c r="I184" s="208"/>
      <c r="J184" s="223"/>
      <c r="K184" s="76"/>
      <c r="M184" s="48"/>
      <c r="N184" s="48"/>
    </row>
    <row r="185" spans="2:14" ht="15.75" customHeight="1">
      <c r="B185" s="41"/>
      <c r="C185" s="224"/>
      <c r="D185" s="225"/>
      <c r="E185" s="226"/>
      <c r="F185" s="171"/>
      <c r="G185" s="192"/>
      <c r="H185" s="141"/>
      <c r="I185" s="208"/>
      <c r="J185" s="223"/>
      <c r="K185" s="76"/>
      <c r="M185" s="48"/>
      <c r="N185" s="48"/>
    </row>
    <row r="186" spans="2:14" ht="14.25" customHeight="1">
      <c r="B186" s="25" t="s">
        <v>177</v>
      </c>
      <c r="C186" s="297" t="s">
        <v>67</v>
      </c>
      <c r="D186" s="262"/>
      <c r="E186" s="298"/>
      <c r="F186" s="42">
        <v>1</v>
      </c>
      <c r="G186" s="54" t="s">
        <v>60</v>
      </c>
      <c r="H186" s="70" t="s">
        <v>77</v>
      </c>
      <c r="I186" s="122">
        <v>10000</v>
      </c>
      <c r="J186" s="70" t="s">
        <v>77</v>
      </c>
      <c r="K186" s="76">
        <f>F186*I186</f>
        <v>10000</v>
      </c>
      <c r="M186" s="48"/>
      <c r="N186" s="48"/>
    </row>
    <row r="187" spans="2:14" ht="12" customHeight="1">
      <c r="B187" s="41"/>
      <c r="C187" s="43"/>
      <c r="D187" s="27"/>
      <c r="E187" s="27"/>
      <c r="F187" s="171"/>
      <c r="G187" s="192"/>
      <c r="H187" s="141"/>
      <c r="I187" s="208"/>
      <c r="J187" s="223"/>
      <c r="K187" s="76"/>
      <c r="M187" s="48"/>
      <c r="N187" s="48"/>
    </row>
    <row r="188" spans="2:14" ht="12" customHeight="1">
      <c r="B188" s="25" t="s">
        <v>178</v>
      </c>
      <c r="C188" s="42" t="s">
        <v>172</v>
      </c>
      <c r="D188" s="240"/>
      <c r="F188" s="42">
        <v>20</v>
      </c>
      <c r="G188" s="54" t="s">
        <v>179</v>
      </c>
      <c r="H188" s="70" t="s">
        <v>77</v>
      </c>
      <c r="I188" s="122">
        <v>1200</v>
      </c>
      <c r="J188" s="70" t="s">
        <v>77</v>
      </c>
      <c r="K188" s="76">
        <f>F188*I188</f>
        <v>24000</v>
      </c>
      <c r="M188" s="48"/>
      <c r="N188" s="48"/>
    </row>
    <row r="189" spans="2:14" ht="12" customHeight="1">
      <c r="B189" s="25"/>
      <c r="C189" s="43" t="s">
        <v>173</v>
      </c>
      <c r="D189" s="240"/>
      <c r="F189" s="42"/>
      <c r="G189" s="54"/>
      <c r="H189" s="70"/>
      <c r="I189" s="122"/>
      <c r="J189" s="70"/>
      <c r="K189" s="76"/>
      <c r="M189" s="48"/>
      <c r="N189" s="48"/>
    </row>
    <row r="190" spans="2:14" ht="15.75" customHeight="1">
      <c r="B190" s="41"/>
      <c r="C190" s="43" t="s">
        <v>174</v>
      </c>
      <c r="D190" s="27"/>
      <c r="F190" s="171"/>
      <c r="G190" s="192"/>
      <c r="H190" s="141"/>
      <c r="I190" s="208"/>
      <c r="J190" s="223"/>
      <c r="K190" s="76"/>
      <c r="M190" s="48"/>
      <c r="N190" s="48"/>
    </row>
    <row r="191" spans="2:14" ht="15.75" customHeight="1">
      <c r="B191" s="41"/>
      <c r="C191" s="43" t="s">
        <v>175</v>
      </c>
      <c r="D191" s="27"/>
      <c r="F191" s="171"/>
      <c r="G191" s="192"/>
      <c r="H191" s="141"/>
      <c r="I191" s="208"/>
      <c r="J191" s="223"/>
      <c r="K191" s="76"/>
      <c r="M191" s="48"/>
      <c r="N191" s="48"/>
    </row>
    <row r="192" spans="2:14" ht="15.75" customHeight="1">
      <c r="B192" s="41"/>
      <c r="C192" s="43" t="s">
        <v>176</v>
      </c>
      <c r="D192" s="27"/>
      <c r="F192" s="171"/>
      <c r="G192" s="192"/>
      <c r="H192" s="141"/>
      <c r="I192" s="208"/>
      <c r="J192" s="223"/>
      <c r="K192" s="76"/>
      <c r="M192" s="48"/>
      <c r="N192" s="48"/>
    </row>
    <row r="193" spans="2:14" ht="15.75" customHeight="1">
      <c r="B193" s="41"/>
      <c r="C193" s="43" t="s">
        <v>273</v>
      </c>
      <c r="D193" s="27"/>
      <c r="F193" s="171"/>
      <c r="G193" s="192"/>
      <c r="H193" s="141"/>
      <c r="I193" s="208"/>
      <c r="J193" s="223"/>
      <c r="K193" s="76"/>
      <c r="M193" s="48"/>
      <c r="N193" s="48"/>
    </row>
    <row r="194" spans="2:14" ht="15.75" customHeight="1">
      <c r="B194" s="41"/>
      <c r="C194" s="43"/>
      <c r="D194" s="27"/>
      <c r="F194" s="30"/>
      <c r="G194" s="192"/>
      <c r="H194" s="141"/>
      <c r="I194" s="208"/>
      <c r="J194" s="223"/>
      <c r="K194" s="76"/>
      <c r="M194" s="48"/>
      <c r="N194" s="48"/>
    </row>
    <row r="195" spans="2:14" ht="12" customHeight="1">
      <c r="B195" s="41"/>
      <c r="C195" s="51"/>
      <c r="D195" s="8"/>
      <c r="E195" s="112"/>
      <c r="F195" s="171"/>
      <c r="G195" s="192"/>
      <c r="H195" s="141"/>
      <c r="I195" s="208"/>
      <c r="J195" s="223"/>
      <c r="K195" s="76"/>
      <c r="M195" s="48"/>
      <c r="N195" s="48"/>
    </row>
    <row r="196" spans="2:14" ht="12" customHeight="1">
      <c r="B196" s="25" t="s">
        <v>180</v>
      </c>
      <c r="C196" s="297" t="s">
        <v>265</v>
      </c>
      <c r="D196" s="262"/>
      <c r="E196" s="298"/>
      <c r="F196" s="42">
        <v>51</v>
      </c>
      <c r="G196" s="54" t="s">
        <v>114</v>
      </c>
      <c r="H196" s="127" t="s">
        <v>132</v>
      </c>
      <c r="I196" s="208">
        <v>500</v>
      </c>
      <c r="J196" s="127" t="s">
        <v>132</v>
      </c>
      <c r="K196" s="76">
        <f>I196*F196</f>
        <v>25500</v>
      </c>
      <c r="M196" s="48"/>
      <c r="N196" s="48"/>
    </row>
    <row r="197" spans="2:14" ht="12.75" customHeight="1">
      <c r="B197" s="25"/>
      <c r="C197" s="251"/>
      <c r="D197" s="227"/>
      <c r="E197" s="236"/>
      <c r="F197" s="42"/>
      <c r="G197" s="54"/>
      <c r="H197" s="127"/>
      <c r="I197" s="125"/>
      <c r="J197" s="127"/>
      <c r="K197" s="76"/>
      <c r="M197" s="48"/>
      <c r="N197" s="48"/>
    </row>
    <row r="198" spans="2:14" ht="12.75" customHeight="1">
      <c r="B198" s="25" t="s">
        <v>181</v>
      </c>
      <c r="C198" s="297" t="s">
        <v>235</v>
      </c>
      <c r="D198" s="262"/>
      <c r="E198" s="298"/>
      <c r="F198" s="42">
        <v>1</v>
      </c>
      <c r="G198" s="54" t="s">
        <v>182</v>
      </c>
      <c r="H198" s="127" t="s">
        <v>77</v>
      </c>
      <c r="I198" s="125">
        <v>5000</v>
      </c>
      <c r="J198" s="127"/>
      <c r="K198" s="76" t="s">
        <v>139</v>
      </c>
      <c r="M198" s="237"/>
      <c r="N198" s="237"/>
    </row>
    <row r="199" spans="2:14" ht="12" customHeight="1" thickBot="1">
      <c r="B199" s="25"/>
      <c r="C199" s="51"/>
      <c r="D199" s="8"/>
      <c r="E199" s="8"/>
      <c r="F199" s="176"/>
      <c r="G199" s="197"/>
      <c r="H199" s="147"/>
      <c r="I199" s="218"/>
      <c r="J199" s="159"/>
      <c r="K199" s="76"/>
      <c r="M199" s="1"/>
      <c r="N199" s="1"/>
    </row>
    <row r="200" spans="2:14" ht="16.5" thickBot="1">
      <c r="B200" s="49"/>
      <c r="C200" s="38"/>
      <c r="D200" s="39"/>
      <c r="E200" s="39"/>
      <c r="F200" s="90"/>
      <c r="G200" s="196"/>
      <c r="H200" s="90"/>
      <c r="I200" s="210"/>
      <c r="J200" s="97" t="s">
        <v>77</v>
      </c>
      <c r="K200" s="87">
        <f>SUM(K186:K196)</f>
        <v>59500</v>
      </c>
    </row>
    <row r="201" spans="2:14" ht="15.75" customHeight="1">
      <c r="B201" s="40" t="s">
        <v>89</v>
      </c>
      <c r="C201" s="14" t="str">
        <f>C31</f>
        <v>Safety Monitoring System using Artificial Intelligence</v>
      </c>
      <c r="D201" s="50"/>
      <c r="E201" s="50"/>
      <c r="F201" s="171"/>
      <c r="G201" s="192"/>
      <c r="H201" s="141"/>
      <c r="I201" s="208"/>
      <c r="J201" s="156"/>
      <c r="K201" s="74"/>
      <c r="M201" s="48"/>
      <c r="N201" s="48"/>
    </row>
    <row r="202" spans="2:14" ht="30" customHeight="1">
      <c r="B202" s="41"/>
      <c r="C202" s="283" t="s">
        <v>183</v>
      </c>
      <c r="D202" s="284"/>
      <c r="E202" s="285"/>
      <c r="F202" s="171"/>
      <c r="G202" s="192"/>
      <c r="H202" s="141"/>
      <c r="I202" s="208"/>
      <c r="J202" s="123"/>
      <c r="K202" s="76"/>
      <c r="M202" s="48"/>
      <c r="N202" s="48"/>
    </row>
    <row r="203" spans="2:14" ht="15.75" customHeight="1">
      <c r="B203" s="41"/>
      <c r="C203" s="291" t="s">
        <v>280</v>
      </c>
      <c r="D203" s="292"/>
      <c r="E203" s="293"/>
      <c r="F203" s="171"/>
      <c r="G203" s="192"/>
      <c r="H203" s="141"/>
      <c r="I203" s="208"/>
      <c r="J203" s="223"/>
      <c r="K203" s="76"/>
      <c r="M203" s="48"/>
      <c r="N203" s="48"/>
    </row>
    <row r="204" spans="2:14" ht="15.75" customHeight="1">
      <c r="B204" s="41"/>
      <c r="C204" s="230"/>
      <c r="D204" s="231"/>
      <c r="E204" s="232"/>
      <c r="F204" s="171"/>
      <c r="G204" s="192"/>
      <c r="H204" s="141"/>
      <c r="I204" s="208"/>
      <c r="J204" s="223"/>
      <c r="K204" s="76"/>
      <c r="M204" s="48"/>
      <c r="N204" s="48"/>
    </row>
    <row r="205" spans="2:14" ht="12.75" customHeight="1">
      <c r="B205" s="41"/>
      <c r="C205" s="224"/>
      <c r="D205" s="225"/>
      <c r="E205" s="226"/>
      <c r="F205" s="171"/>
      <c r="G205" s="192"/>
      <c r="H205" s="141"/>
      <c r="I205" s="208"/>
      <c r="J205" s="223"/>
      <c r="K205" s="76"/>
      <c r="M205" s="48"/>
      <c r="N205" s="48"/>
    </row>
    <row r="206" spans="2:14" ht="14.25" customHeight="1">
      <c r="B206" s="25" t="s">
        <v>185</v>
      </c>
      <c r="C206" s="297" t="s">
        <v>67</v>
      </c>
      <c r="D206" s="262"/>
      <c r="E206" s="298"/>
      <c r="F206" s="42">
        <v>1</v>
      </c>
      <c r="G206" s="54" t="s">
        <v>60</v>
      </c>
      <c r="H206" s="70" t="s">
        <v>77</v>
      </c>
      <c r="I206" s="122">
        <v>10000</v>
      </c>
      <c r="J206" s="70" t="s">
        <v>77</v>
      </c>
      <c r="K206" s="76">
        <f>F206*I206</f>
        <v>10000</v>
      </c>
      <c r="M206" s="48"/>
      <c r="N206" s="48"/>
    </row>
    <row r="207" spans="2:14" ht="12" customHeight="1">
      <c r="B207" s="41"/>
      <c r="C207" s="52"/>
      <c r="D207" s="53"/>
      <c r="E207" s="69"/>
      <c r="F207" s="171"/>
      <c r="G207" s="192"/>
      <c r="H207" s="141"/>
      <c r="I207" s="208"/>
      <c r="J207" s="223"/>
      <c r="K207" s="76"/>
      <c r="M207" s="48"/>
      <c r="N207" s="48"/>
    </row>
    <row r="208" spans="2:14" ht="16.5" customHeight="1">
      <c r="B208" s="25" t="s">
        <v>186</v>
      </c>
      <c r="C208" s="297" t="s">
        <v>184</v>
      </c>
      <c r="D208" s="262"/>
      <c r="E208" s="298"/>
      <c r="F208" s="42"/>
      <c r="G208" s="54"/>
      <c r="H208" s="70"/>
      <c r="I208" s="122"/>
      <c r="J208" s="70"/>
      <c r="K208" s="76"/>
      <c r="M208" s="237"/>
      <c r="N208" s="237"/>
    </row>
    <row r="209" spans="2:14" ht="16.5" customHeight="1">
      <c r="B209" s="41"/>
      <c r="C209" s="43" t="s">
        <v>236</v>
      </c>
      <c r="D209" s="227"/>
      <c r="E209" s="236"/>
      <c r="F209" s="42">
        <v>4</v>
      </c>
      <c r="G209" s="54" t="s">
        <v>26</v>
      </c>
      <c r="H209" s="127" t="s">
        <v>132</v>
      </c>
      <c r="I209" s="208">
        <v>5000</v>
      </c>
      <c r="J209" s="127" t="s">
        <v>132</v>
      </c>
      <c r="K209" s="76">
        <f>I209*F209</f>
        <v>20000</v>
      </c>
      <c r="M209" s="237"/>
      <c r="N209" s="237"/>
    </row>
    <row r="210" spans="2:14" ht="16.5" customHeight="1">
      <c r="B210" s="41"/>
      <c r="C210" s="43" t="s">
        <v>237</v>
      </c>
      <c r="D210" s="227"/>
      <c r="E210" s="236"/>
      <c r="F210" s="42">
        <v>1</v>
      </c>
      <c r="G210" s="54" t="s">
        <v>26</v>
      </c>
      <c r="H210" s="127" t="s">
        <v>132</v>
      </c>
      <c r="I210" s="208">
        <v>10000</v>
      </c>
      <c r="J210" s="127" t="s">
        <v>132</v>
      </c>
      <c r="K210" s="76">
        <f>I210*F210</f>
        <v>10000</v>
      </c>
      <c r="M210" s="237"/>
      <c r="N210" s="237"/>
    </row>
    <row r="211" spans="2:14" ht="16.5" customHeight="1">
      <c r="B211" s="41"/>
      <c r="C211" s="43" t="s">
        <v>232</v>
      </c>
      <c r="D211" s="227"/>
      <c r="E211" s="236"/>
      <c r="F211" s="42">
        <v>1</v>
      </c>
      <c r="G211" s="54" t="s">
        <v>26</v>
      </c>
      <c r="H211" s="127" t="s">
        <v>132</v>
      </c>
      <c r="I211" s="208">
        <v>15000</v>
      </c>
      <c r="J211" s="127" t="s">
        <v>132</v>
      </c>
      <c r="K211" s="76">
        <f>I211*F211</f>
        <v>15000</v>
      </c>
      <c r="M211" s="237"/>
      <c r="N211" s="237"/>
    </row>
    <row r="212" spans="2:14" ht="16.5" customHeight="1">
      <c r="B212" s="41"/>
      <c r="C212" s="43" t="s">
        <v>221</v>
      </c>
      <c r="D212" s="227"/>
      <c r="E212" s="227"/>
      <c r="F212" s="42">
        <v>4</v>
      </c>
      <c r="G212" s="54" t="s">
        <v>26</v>
      </c>
      <c r="H212" s="127" t="s">
        <v>132</v>
      </c>
      <c r="I212" s="208">
        <v>1800</v>
      </c>
      <c r="J212" s="127" t="s">
        <v>132</v>
      </c>
      <c r="K212" s="76">
        <f>I212*F212</f>
        <v>7200</v>
      </c>
      <c r="M212" s="237"/>
      <c r="N212" s="237"/>
    </row>
    <row r="213" spans="2:14" ht="16.5" customHeight="1">
      <c r="B213" s="41"/>
      <c r="C213" s="43" t="s">
        <v>238</v>
      </c>
      <c r="D213" s="227"/>
      <c r="E213" s="227"/>
      <c r="F213" s="42">
        <v>1</v>
      </c>
      <c r="G213" s="54" t="s">
        <v>26</v>
      </c>
      <c r="H213" s="127" t="s">
        <v>132</v>
      </c>
      <c r="I213" s="208">
        <v>8000</v>
      </c>
      <c r="J213" s="127" t="s">
        <v>132</v>
      </c>
      <c r="K213" s="76">
        <f>I213*F213</f>
        <v>8000</v>
      </c>
      <c r="M213" s="237"/>
      <c r="N213" s="237"/>
    </row>
    <row r="214" spans="2:14" ht="16.5" customHeight="1">
      <c r="B214" s="41"/>
      <c r="C214" s="43"/>
      <c r="D214" s="227"/>
      <c r="E214" s="227"/>
      <c r="F214" s="171"/>
      <c r="G214" s="192"/>
      <c r="H214" s="141"/>
      <c r="I214" s="208"/>
      <c r="J214" s="223"/>
      <c r="K214" s="76"/>
      <c r="M214" s="237"/>
      <c r="N214" s="237"/>
    </row>
    <row r="215" spans="2:14" ht="16.5" customHeight="1">
      <c r="B215" s="41"/>
      <c r="C215" s="43"/>
      <c r="D215" s="227"/>
      <c r="E215" s="227"/>
      <c r="F215" s="171"/>
      <c r="G215" s="192"/>
      <c r="H215" s="141"/>
      <c r="I215" s="208"/>
      <c r="J215" s="223"/>
      <c r="K215" s="76"/>
      <c r="M215" s="237"/>
      <c r="N215" s="237"/>
    </row>
    <row r="216" spans="2:14" ht="16.5" customHeight="1">
      <c r="B216" s="25" t="s">
        <v>187</v>
      </c>
      <c r="C216" s="297" t="s">
        <v>239</v>
      </c>
      <c r="D216" s="262"/>
      <c r="E216" s="298"/>
      <c r="F216" s="107">
        <v>1</v>
      </c>
      <c r="G216" s="54" t="s">
        <v>240</v>
      </c>
      <c r="H216" s="127" t="s">
        <v>132</v>
      </c>
      <c r="I216" s="208">
        <v>30000</v>
      </c>
      <c r="J216" s="127" t="s">
        <v>132</v>
      </c>
      <c r="K216" s="76">
        <f>I216*F216</f>
        <v>30000</v>
      </c>
      <c r="M216" s="237"/>
      <c r="N216" s="237"/>
    </row>
    <row r="217" spans="2:14" ht="16.5" customHeight="1">
      <c r="B217" s="41"/>
      <c r="C217" s="238"/>
      <c r="D217" s="27"/>
      <c r="E217" s="27"/>
      <c r="F217" s="171"/>
      <c r="G217" s="192"/>
      <c r="H217" s="141"/>
      <c r="I217" s="208"/>
      <c r="J217" s="223"/>
      <c r="K217" s="76"/>
      <c r="M217" s="237"/>
      <c r="N217" s="237"/>
    </row>
    <row r="218" spans="2:14" ht="12" customHeight="1">
      <c r="B218" s="25" t="s">
        <v>188</v>
      </c>
      <c r="C218" s="297" t="s">
        <v>265</v>
      </c>
      <c r="D218" s="262"/>
      <c r="E218" s="298"/>
      <c r="F218" s="42">
        <v>51</v>
      </c>
      <c r="G218" s="54" t="s">
        <v>114</v>
      </c>
      <c r="H218" s="127" t="s">
        <v>132</v>
      </c>
      <c r="I218" s="208">
        <v>1000</v>
      </c>
      <c r="J218" s="127" t="s">
        <v>132</v>
      </c>
      <c r="K218" s="76">
        <f>I218*F218</f>
        <v>51000</v>
      </c>
      <c r="M218" s="48"/>
      <c r="N218" s="48"/>
    </row>
    <row r="219" spans="2:14" ht="16.5" customHeight="1">
      <c r="B219" s="41"/>
      <c r="C219" s="238"/>
      <c r="D219" s="27"/>
      <c r="E219" s="27"/>
      <c r="F219" s="171"/>
      <c r="G219" s="192"/>
      <c r="H219" s="141"/>
      <c r="I219" s="208"/>
      <c r="J219" s="223"/>
      <c r="K219" s="76"/>
      <c r="M219" s="237"/>
      <c r="N219" s="237"/>
    </row>
    <row r="220" spans="2:14" ht="16.5" customHeight="1">
      <c r="B220" s="41"/>
      <c r="C220" s="113"/>
      <c r="D220" s="2"/>
      <c r="F220" s="171"/>
      <c r="G220" s="192"/>
      <c r="H220" s="141"/>
      <c r="I220" s="208"/>
      <c r="J220" s="223"/>
      <c r="K220" s="76"/>
      <c r="M220" s="237"/>
      <c r="N220" s="237"/>
    </row>
    <row r="221" spans="2:14" ht="16.5" customHeight="1">
      <c r="B221" s="25" t="s">
        <v>189</v>
      </c>
      <c r="C221" s="52" t="s">
        <v>146</v>
      </c>
      <c r="D221" s="27"/>
      <c r="E221" s="27"/>
      <c r="F221" s="42">
        <v>1</v>
      </c>
      <c r="G221" s="54" t="s">
        <v>153</v>
      </c>
      <c r="H221" s="127" t="s">
        <v>77</v>
      </c>
      <c r="I221" s="125"/>
      <c r="J221" s="157"/>
      <c r="K221" s="76" t="s">
        <v>139</v>
      </c>
      <c r="M221" s="237"/>
      <c r="N221" s="237"/>
    </row>
    <row r="222" spans="2:14" ht="15.75" customHeight="1">
      <c r="B222" s="235" t="s">
        <v>190</v>
      </c>
      <c r="C222" s="52" t="s">
        <v>148</v>
      </c>
      <c r="D222" s="32"/>
      <c r="E222" s="32"/>
      <c r="F222" s="42">
        <v>1</v>
      </c>
      <c r="G222" s="54" t="s">
        <v>26</v>
      </c>
      <c r="H222" s="136"/>
      <c r="I222" s="216"/>
      <c r="J222" s="158"/>
      <c r="K222" s="91"/>
      <c r="M222" s="237"/>
      <c r="N222" s="237"/>
    </row>
    <row r="223" spans="2:14" ht="15.75" customHeight="1">
      <c r="B223" s="235" t="s">
        <v>191</v>
      </c>
      <c r="C223" s="52" t="s">
        <v>154</v>
      </c>
      <c r="D223" s="32"/>
      <c r="E223" s="32"/>
      <c r="F223" s="42">
        <v>1</v>
      </c>
      <c r="G223" s="54" t="s">
        <v>222</v>
      </c>
      <c r="H223" s="136"/>
      <c r="I223" s="216"/>
      <c r="J223" s="158"/>
      <c r="K223" s="91"/>
      <c r="M223" s="48"/>
      <c r="N223" s="48"/>
    </row>
    <row r="224" spans="2:14" ht="15.75" customHeight="1">
      <c r="B224" s="25"/>
      <c r="C224" s="241" t="s">
        <v>228</v>
      </c>
      <c r="D224" s="241"/>
      <c r="E224" s="32"/>
      <c r="F224" s="286"/>
      <c r="G224" s="287"/>
      <c r="H224" s="143"/>
      <c r="I224" s="217"/>
      <c r="J224" s="124"/>
      <c r="K224" s="76"/>
      <c r="M224" s="48"/>
      <c r="N224" s="48"/>
    </row>
    <row r="225" spans="2:14" ht="12" customHeight="1">
      <c r="B225" s="41"/>
      <c r="C225" s="224"/>
      <c r="D225" s="225"/>
      <c r="E225" s="226"/>
      <c r="F225" s="171"/>
      <c r="G225" s="192"/>
      <c r="H225" s="141"/>
      <c r="I225" s="208"/>
      <c r="J225" s="223"/>
      <c r="K225" s="76"/>
      <c r="M225" s="48"/>
      <c r="N225" s="48"/>
    </row>
    <row r="226" spans="2:14" ht="12" customHeight="1">
      <c r="B226" s="25"/>
      <c r="C226" s="283"/>
      <c r="D226" s="284"/>
      <c r="E226" s="285"/>
      <c r="F226" s="173"/>
      <c r="G226" s="195"/>
      <c r="H226" s="126"/>
      <c r="I226" s="89"/>
      <c r="J226" s="128"/>
      <c r="K226" s="76"/>
      <c r="M226" s="48"/>
      <c r="N226" s="48"/>
    </row>
    <row r="227" spans="2:14" ht="12" customHeight="1" thickBot="1">
      <c r="B227" s="25"/>
      <c r="C227" s="51"/>
      <c r="D227" s="8"/>
      <c r="E227" s="8"/>
      <c r="F227" s="176"/>
      <c r="G227" s="197"/>
      <c r="H227" s="147"/>
      <c r="I227" s="218"/>
      <c r="J227" s="159"/>
      <c r="K227" s="76"/>
      <c r="M227" s="1"/>
      <c r="N227" s="1"/>
    </row>
    <row r="228" spans="2:14" ht="16.5" thickBot="1">
      <c r="B228" s="49"/>
      <c r="C228" s="38"/>
      <c r="D228" s="39"/>
      <c r="E228" s="39"/>
      <c r="F228" s="90"/>
      <c r="G228" s="196"/>
      <c r="H228" s="90"/>
      <c r="I228" s="210"/>
      <c r="J228" s="97" t="s">
        <v>77</v>
      </c>
      <c r="K228" s="87">
        <f>SUM(K206:K225)</f>
        <v>151200</v>
      </c>
    </row>
    <row r="229" spans="2:14" ht="15.75" customHeight="1">
      <c r="B229" s="40" t="s">
        <v>105</v>
      </c>
      <c r="C229" s="14" t="str">
        <f>C32</f>
        <v xml:space="preserve">Confined Spaces Monitoring System </v>
      </c>
      <c r="D229" s="50"/>
      <c r="E229" s="50"/>
      <c r="F229" s="171"/>
      <c r="G229" s="192"/>
      <c r="H229" s="141"/>
      <c r="I229" s="208"/>
      <c r="J229" s="156"/>
      <c r="K229" s="74"/>
      <c r="M229" s="48"/>
      <c r="N229" s="48"/>
    </row>
    <row r="230" spans="2:14" ht="33.6" customHeight="1">
      <c r="B230" s="25"/>
      <c r="C230" s="283" t="s">
        <v>192</v>
      </c>
      <c r="D230" s="284"/>
      <c r="E230" s="285"/>
      <c r="F230" s="168"/>
      <c r="G230" s="189"/>
      <c r="H230" s="138"/>
      <c r="I230" s="206"/>
      <c r="J230" s="117"/>
      <c r="K230" s="82"/>
      <c r="M230" s="1"/>
      <c r="N230" s="1"/>
    </row>
    <row r="231" spans="2:14" ht="18" customHeight="1">
      <c r="B231" s="25"/>
      <c r="C231" s="291" t="s">
        <v>281</v>
      </c>
      <c r="D231" s="292"/>
      <c r="E231" s="293"/>
      <c r="F231" s="168"/>
      <c r="G231" s="189"/>
      <c r="H231" s="138"/>
      <c r="I231" s="206"/>
      <c r="J231" s="229"/>
      <c r="K231" s="82"/>
      <c r="M231" s="1"/>
      <c r="N231" s="1"/>
    </row>
    <row r="232" spans="2:14" ht="12.75" customHeight="1">
      <c r="B232" s="25"/>
      <c r="C232" s="230"/>
      <c r="D232" s="231"/>
      <c r="E232" s="232"/>
      <c r="F232" s="168"/>
      <c r="G232" s="189"/>
      <c r="H232" s="138"/>
      <c r="I232" s="206"/>
      <c r="J232" s="229"/>
      <c r="K232" s="82"/>
      <c r="M232" s="1"/>
      <c r="N232" s="1"/>
    </row>
    <row r="233" spans="2:14" ht="12.75" customHeight="1">
      <c r="B233" s="25"/>
      <c r="C233" s="224"/>
      <c r="D233" s="225"/>
      <c r="E233" s="226"/>
      <c r="F233" s="168"/>
      <c r="G233" s="189"/>
      <c r="H233" s="138"/>
      <c r="I233" s="206"/>
      <c r="J233" s="229"/>
      <c r="K233" s="82"/>
      <c r="M233" s="1"/>
      <c r="N233" s="1"/>
    </row>
    <row r="234" spans="2:14" ht="16.5" customHeight="1">
      <c r="B234" s="25" t="s">
        <v>193</v>
      </c>
      <c r="C234" s="52" t="s">
        <v>67</v>
      </c>
      <c r="D234" s="53"/>
      <c r="E234" s="69"/>
      <c r="F234" s="42">
        <v>1</v>
      </c>
      <c r="G234" s="54" t="s">
        <v>54</v>
      </c>
      <c r="H234" s="127" t="s">
        <v>77</v>
      </c>
      <c r="I234" s="122">
        <v>10000</v>
      </c>
      <c r="J234" s="127" t="s">
        <v>77</v>
      </c>
      <c r="K234" s="76">
        <f>F234*I234</f>
        <v>10000</v>
      </c>
      <c r="M234" s="48"/>
      <c r="N234" s="48"/>
    </row>
    <row r="235" spans="2:14" ht="16.5" customHeight="1">
      <c r="B235" s="25"/>
      <c r="C235" s="52"/>
      <c r="D235" s="53"/>
      <c r="E235" s="69"/>
      <c r="F235" s="42"/>
      <c r="G235" s="54"/>
      <c r="H235" s="127"/>
      <c r="I235" s="122"/>
      <c r="J235" s="255"/>
      <c r="K235" s="76"/>
      <c r="M235" s="48"/>
      <c r="N235" s="48"/>
    </row>
    <row r="236" spans="2:14" ht="12" customHeight="1">
      <c r="B236" s="25" t="s">
        <v>195</v>
      </c>
      <c r="C236" s="297" t="s">
        <v>265</v>
      </c>
      <c r="D236" s="262"/>
      <c r="E236" s="298"/>
      <c r="F236" s="42">
        <v>51</v>
      </c>
      <c r="G236" s="54" t="s">
        <v>114</v>
      </c>
      <c r="H236" s="127" t="s">
        <v>132</v>
      </c>
      <c r="I236" s="208">
        <v>500</v>
      </c>
      <c r="J236" s="127" t="s">
        <v>132</v>
      </c>
      <c r="K236" s="76">
        <f>I236*F236</f>
        <v>25500</v>
      </c>
      <c r="M236" s="48"/>
      <c r="N236" s="48"/>
    </row>
    <row r="237" spans="2:14" ht="16.5" customHeight="1">
      <c r="B237" s="25"/>
      <c r="C237" s="52"/>
      <c r="D237" s="53"/>
      <c r="E237" s="69"/>
      <c r="F237" s="173"/>
      <c r="G237" s="195"/>
      <c r="H237" s="145"/>
      <c r="I237" s="208"/>
      <c r="J237" s="128"/>
      <c r="K237" s="76"/>
      <c r="M237" s="48"/>
      <c r="N237" s="48"/>
    </row>
    <row r="238" spans="2:14" ht="16.5" customHeight="1">
      <c r="B238" s="25" t="s">
        <v>196</v>
      </c>
      <c r="C238" s="42" t="s">
        <v>194</v>
      </c>
      <c r="D238" s="8"/>
      <c r="E238" s="8"/>
      <c r="F238" s="42"/>
      <c r="G238" s="54"/>
      <c r="H238" s="70"/>
      <c r="I238" s="122"/>
      <c r="J238" s="70"/>
      <c r="K238" s="76"/>
      <c r="M238" s="48"/>
      <c r="N238" s="48"/>
    </row>
    <row r="239" spans="2:14" ht="16.5" customHeight="1">
      <c r="B239" s="25"/>
      <c r="C239" s="115" t="s">
        <v>230</v>
      </c>
      <c r="D239" s="8"/>
      <c r="E239" s="8"/>
      <c r="F239" s="42">
        <v>2</v>
      </c>
      <c r="G239" s="54" t="s">
        <v>26</v>
      </c>
      <c r="H239" s="127" t="s">
        <v>132</v>
      </c>
      <c r="I239" s="208">
        <v>10000</v>
      </c>
      <c r="J239" s="127" t="s">
        <v>132</v>
      </c>
      <c r="K239" s="76">
        <f>I239*F239</f>
        <v>20000</v>
      </c>
      <c r="M239" s="48"/>
      <c r="N239" s="48"/>
    </row>
    <row r="240" spans="2:14">
      <c r="B240" s="25"/>
      <c r="C240" s="115" t="s">
        <v>231</v>
      </c>
      <c r="D240" s="8"/>
      <c r="E240" s="8"/>
      <c r="F240" s="42">
        <v>4</v>
      </c>
      <c r="G240" s="54" t="s">
        <v>26</v>
      </c>
      <c r="H240" s="127" t="s">
        <v>132</v>
      </c>
      <c r="I240" s="208">
        <v>10000</v>
      </c>
      <c r="J240" s="127" t="s">
        <v>132</v>
      </c>
      <c r="K240" s="76">
        <f>I240*F240</f>
        <v>40000</v>
      </c>
      <c r="M240" s="1"/>
      <c r="N240" s="1"/>
    </row>
    <row r="241" spans="2:14">
      <c r="B241" s="25"/>
      <c r="C241" s="115" t="s">
        <v>232</v>
      </c>
      <c r="D241" s="8"/>
      <c r="E241" s="8"/>
      <c r="F241" s="42">
        <v>2</v>
      </c>
      <c r="G241" s="54" t="s">
        <v>26</v>
      </c>
      <c r="H241" s="127" t="s">
        <v>132</v>
      </c>
      <c r="I241" s="208">
        <v>15000</v>
      </c>
      <c r="J241" s="127" t="s">
        <v>132</v>
      </c>
      <c r="K241" s="76">
        <f>I241*F241</f>
        <v>30000</v>
      </c>
      <c r="M241" s="1"/>
      <c r="N241" s="1"/>
    </row>
    <row r="242" spans="2:14">
      <c r="B242" s="25"/>
      <c r="C242" s="115" t="s">
        <v>233</v>
      </c>
      <c r="D242" s="8"/>
      <c r="E242" s="8"/>
      <c r="F242" s="42">
        <v>4</v>
      </c>
      <c r="G242" s="54" t="s">
        <v>26</v>
      </c>
      <c r="H242" s="127" t="s">
        <v>132</v>
      </c>
      <c r="I242" s="208">
        <v>7000</v>
      </c>
      <c r="J242" s="127" t="s">
        <v>132</v>
      </c>
      <c r="K242" s="76">
        <f>I242*F242</f>
        <v>28000</v>
      </c>
      <c r="M242" s="1"/>
      <c r="N242" s="1"/>
    </row>
    <row r="243" spans="2:14" ht="15.6" customHeight="1">
      <c r="B243" s="25"/>
      <c r="C243" s="115" t="s">
        <v>234</v>
      </c>
      <c r="D243" s="242"/>
      <c r="F243" s="42">
        <v>4</v>
      </c>
      <c r="G243" s="54" t="s">
        <v>26</v>
      </c>
      <c r="H243" s="127" t="s">
        <v>132</v>
      </c>
      <c r="I243" s="208">
        <v>18000</v>
      </c>
      <c r="J243" s="127" t="s">
        <v>132</v>
      </c>
      <c r="K243" s="76">
        <f>I243*F243</f>
        <v>72000</v>
      </c>
      <c r="M243" s="1"/>
      <c r="N243" s="1"/>
    </row>
    <row r="244" spans="2:14" ht="21.6" customHeight="1">
      <c r="B244" s="25"/>
      <c r="C244" s="43"/>
      <c r="D244" s="27"/>
      <c r="E244" s="27"/>
      <c r="F244" s="166"/>
      <c r="G244" s="187"/>
      <c r="H244" s="136"/>
      <c r="I244" s="216"/>
      <c r="J244" s="158"/>
      <c r="K244" s="91"/>
      <c r="M244" s="1"/>
      <c r="N244" s="1"/>
    </row>
    <row r="245" spans="2:14" ht="16.5" customHeight="1">
      <c r="B245" s="25"/>
      <c r="C245" s="43"/>
      <c r="D245" s="27"/>
      <c r="E245" s="27"/>
      <c r="F245" s="166"/>
      <c r="G245" s="187"/>
      <c r="H245" s="136"/>
      <c r="I245" s="216"/>
      <c r="J245" s="158"/>
      <c r="K245" s="91"/>
      <c r="M245" s="1"/>
      <c r="N245" s="1"/>
    </row>
    <row r="246" spans="2:14" ht="15.75" customHeight="1">
      <c r="B246" s="25"/>
      <c r="C246" s="258" t="s">
        <v>282</v>
      </c>
      <c r="D246" s="27"/>
      <c r="E246" s="27"/>
      <c r="F246" s="166"/>
      <c r="G246" s="187"/>
      <c r="H246" s="136"/>
      <c r="I246" s="216"/>
      <c r="J246" s="127" t="s">
        <v>132</v>
      </c>
      <c r="K246" s="259">
        <v>180400</v>
      </c>
      <c r="M246" s="1"/>
      <c r="N246" s="1"/>
    </row>
    <row r="247" spans="2:14" ht="17.25" customHeight="1">
      <c r="B247" s="25"/>
      <c r="C247" s="43"/>
      <c r="D247" s="27"/>
      <c r="E247" s="27"/>
      <c r="F247" s="166"/>
      <c r="G247" s="187"/>
      <c r="H247" s="136"/>
      <c r="I247" s="216"/>
      <c r="J247" s="158"/>
      <c r="K247" s="91"/>
      <c r="M247" s="1"/>
      <c r="N247" s="1"/>
    </row>
    <row r="248" spans="2:14" ht="15.75" customHeight="1">
      <c r="B248" s="25"/>
      <c r="C248" s="43"/>
      <c r="D248" s="27"/>
      <c r="E248" s="27"/>
      <c r="F248" s="166"/>
      <c r="G248" s="187"/>
      <c r="H248" s="136"/>
      <c r="I248" s="216"/>
      <c r="J248" s="158"/>
      <c r="K248" s="91"/>
      <c r="M248" s="1"/>
      <c r="N248" s="1"/>
    </row>
    <row r="249" spans="2:14" ht="16.5" thickBot="1">
      <c r="B249" s="25"/>
      <c r="C249" s="51"/>
      <c r="D249" s="8"/>
      <c r="E249" s="8"/>
      <c r="F249" s="176"/>
      <c r="G249" s="197"/>
      <c r="H249" s="147"/>
      <c r="I249" s="218"/>
      <c r="J249" s="159"/>
      <c r="K249" s="85"/>
      <c r="M249" s="1"/>
      <c r="N249" s="1"/>
    </row>
    <row r="250" spans="2:14" ht="16.5" thickBot="1">
      <c r="B250" s="49"/>
      <c r="C250" s="38"/>
      <c r="D250" s="39"/>
      <c r="E250" s="39"/>
      <c r="F250" s="90"/>
      <c r="G250" s="196"/>
      <c r="H250" s="86"/>
      <c r="I250" s="86" t="s">
        <v>24</v>
      </c>
      <c r="J250" s="86" t="s">
        <v>77</v>
      </c>
      <c r="K250" s="87">
        <f>SUM(K234:K243)</f>
        <v>225500</v>
      </c>
    </row>
    <row r="251" spans="2:14" ht="15.75" customHeight="1">
      <c r="B251" s="40" t="s">
        <v>106</v>
      </c>
      <c r="C251" s="14" t="str">
        <f>C33</f>
        <v xml:space="preserve">Safety Training with VR Technology </v>
      </c>
      <c r="D251" s="50"/>
      <c r="E251" s="50"/>
      <c r="F251" s="171"/>
      <c r="G251" s="192"/>
      <c r="H251" s="141"/>
      <c r="I251" s="208"/>
      <c r="J251" s="156"/>
      <c r="K251" s="74"/>
      <c r="M251" s="48"/>
      <c r="N251" s="48"/>
    </row>
    <row r="252" spans="2:14" ht="33.6" customHeight="1">
      <c r="B252" s="25"/>
      <c r="C252" s="283"/>
      <c r="D252" s="284"/>
      <c r="E252" s="285"/>
      <c r="F252" s="168"/>
      <c r="G252" s="189"/>
      <c r="H252" s="138"/>
      <c r="I252" s="206"/>
      <c r="J252" s="117"/>
      <c r="K252" s="82"/>
      <c r="M252" s="1"/>
      <c r="N252" s="1"/>
    </row>
    <row r="253" spans="2:14" ht="18" customHeight="1">
      <c r="B253" s="25"/>
      <c r="C253" s="42" t="s">
        <v>197</v>
      </c>
      <c r="D253" s="240"/>
      <c r="F253" s="42">
        <v>1</v>
      </c>
      <c r="G253" s="54" t="s">
        <v>207</v>
      </c>
      <c r="H253" s="127" t="s">
        <v>77</v>
      </c>
      <c r="I253" s="122">
        <v>10000</v>
      </c>
      <c r="J253" s="127" t="s">
        <v>77</v>
      </c>
      <c r="K253" s="76">
        <f>F253*I253</f>
        <v>10000</v>
      </c>
      <c r="M253" s="1"/>
      <c r="N253" s="1"/>
    </row>
    <row r="254" spans="2:14" ht="18" customHeight="1">
      <c r="B254" s="25"/>
      <c r="C254" s="115" t="s">
        <v>198</v>
      </c>
      <c r="D254" s="243"/>
      <c r="E254" s="244"/>
      <c r="F254" s="168"/>
      <c r="G254" s="189"/>
      <c r="H254" s="138"/>
      <c r="I254" s="206"/>
      <c r="J254" s="229"/>
      <c r="K254" s="82"/>
      <c r="M254" s="1"/>
      <c r="N254" s="1"/>
    </row>
    <row r="255" spans="2:14" ht="16.5" customHeight="1">
      <c r="B255" s="25"/>
      <c r="C255" s="115" t="s">
        <v>199</v>
      </c>
      <c r="D255" s="243"/>
      <c r="E255" s="244"/>
      <c r="F255" s="42"/>
      <c r="G255" s="54"/>
      <c r="H255" s="127"/>
      <c r="I255" s="122"/>
      <c r="J255" s="127"/>
      <c r="K255" s="76"/>
      <c r="M255" s="48"/>
      <c r="N255" s="48"/>
    </row>
    <row r="256" spans="2:14" ht="16.5" customHeight="1">
      <c r="B256" s="25"/>
      <c r="C256" s="245"/>
      <c r="D256" s="246"/>
      <c r="E256" s="246"/>
      <c r="F256" s="173"/>
      <c r="G256" s="195"/>
      <c r="H256" s="145"/>
      <c r="I256" s="208"/>
      <c r="J256" s="128"/>
      <c r="K256" s="76"/>
      <c r="M256" s="48"/>
      <c r="N256" s="48"/>
    </row>
    <row r="257" spans="2:14" ht="16.5" customHeight="1">
      <c r="B257" s="25"/>
      <c r="C257" s="42" t="s">
        <v>200</v>
      </c>
      <c r="D257" s="247"/>
      <c r="E257" s="248"/>
      <c r="F257" s="42"/>
      <c r="G257" s="54"/>
      <c r="H257" s="127"/>
      <c r="I257" s="125"/>
      <c r="J257" s="127"/>
      <c r="K257" s="76"/>
      <c r="M257" s="48"/>
      <c r="N257" s="48"/>
    </row>
    <row r="258" spans="2:14" ht="16.5" customHeight="1">
      <c r="B258" s="25"/>
      <c r="C258" s="115" t="s">
        <v>201</v>
      </c>
      <c r="D258" s="249"/>
      <c r="E258" s="250"/>
      <c r="F258" s="42"/>
      <c r="G258" s="54"/>
      <c r="H258" s="127"/>
      <c r="I258" s="125"/>
      <c r="J258" s="127"/>
      <c r="K258" s="76"/>
      <c r="M258" s="48"/>
      <c r="N258" s="48"/>
    </row>
    <row r="259" spans="2:14">
      <c r="B259" s="25"/>
      <c r="C259" s="115" t="s">
        <v>202</v>
      </c>
      <c r="D259" s="249"/>
      <c r="E259" s="249"/>
      <c r="F259" s="166"/>
      <c r="G259" s="187"/>
      <c r="H259" s="136"/>
      <c r="I259" s="216"/>
      <c r="J259" s="157"/>
      <c r="K259" s="91"/>
      <c r="M259" s="1"/>
      <c r="N259" s="1"/>
    </row>
    <row r="260" spans="2:14">
      <c r="B260" s="25"/>
      <c r="C260" s="115" t="s">
        <v>203</v>
      </c>
      <c r="D260" s="249"/>
      <c r="E260" s="249"/>
      <c r="F260" s="166"/>
      <c r="G260" s="187"/>
      <c r="H260" s="136"/>
      <c r="I260" s="216"/>
      <c r="J260" s="158"/>
      <c r="K260" s="91"/>
      <c r="M260" s="1"/>
      <c r="N260" s="1"/>
    </row>
    <row r="261" spans="2:14">
      <c r="B261" s="25"/>
      <c r="C261" s="115" t="s">
        <v>204</v>
      </c>
      <c r="D261" s="249"/>
      <c r="E261" s="249"/>
      <c r="F261" s="166"/>
      <c r="G261" s="187"/>
      <c r="H261" s="136"/>
      <c r="I261" s="216"/>
      <c r="J261" s="158"/>
      <c r="K261" s="91"/>
      <c r="M261" s="1"/>
      <c r="N261" s="1"/>
    </row>
    <row r="262" spans="2:14" ht="15.6" customHeight="1">
      <c r="B262" s="25"/>
      <c r="C262" s="300" t="s">
        <v>205</v>
      </c>
      <c r="D262" s="301"/>
      <c r="E262" s="302"/>
      <c r="F262" s="166"/>
      <c r="G262" s="187"/>
      <c r="H262" s="136"/>
      <c r="I262" s="216"/>
      <c r="J262" s="158"/>
      <c r="K262" s="91"/>
      <c r="M262" s="1"/>
      <c r="N262" s="1"/>
    </row>
    <row r="263" spans="2:14">
      <c r="B263" s="25"/>
      <c r="C263" s="300" t="s">
        <v>206</v>
      </c>
      <c r="D263" s="301"/>
      <c r="E263" s="302"/>
      <c r="F263" s="166"/>
      <c r="G263" s="187"/>
      <c r="H263" s="136"/>
      <c r="I263" s="216"/>
      <c r="J263" s="158"/>
      <c r="K263" s="91"/>
      <c r="M263" s="1"/>
      <c r="N263" s="1"/>
    </row>
    <row r="264" spans="2:14" ht="16.5" customHeight="1">
      <c r="B264" s="25"/>
      <c r="C264" s="43" t="s">
        <v>66</v>
      </c>
      <c r="D264" s="43"/>
      <c r="E264" s="43"/>
      <c r="F264" s="166"/>
      <c r="G264" s="187"/>
      <c r="H264" s="136"/>
      <c r="I264" s="216"/>
      <c r="J264" s="158"/>
      <c r="K264" s="91"/>
      <c r="M264" s="1"/>
      <c r="N264" s="1"/>
    </row>
    <row r="265" spans="2:14" ht="21.6" customHeight="1">
      <c r="B265" s="25"/>
      <c r="C265" s="43" t="s">
        <v>79</v>
      </c>
      <c r="D265" s="43"/>
      <c r="E265" s="43"/>
      <c r="F265" s="166"/>
      <c r="G265" s="187"/>
      <c r="H265" s="136"/>
      <c r="I265" s="216"/>
      <c r="J265" s="158"/>
      <c r="K265" s="91"/>
      <c r="M265" s="1"/>
      <c r="N265" s="1"/>
    </row>
    <row r="266" spans="2:14" ht="17.25" customHeight="1">
      <c r="B266" s="25"/>
      <c r="C266" s="43"/>
      <c r="D266" s="27"/>
      <c r="E266" s="27"/>
      <c r="F266" s="166"/>
      <c r="G266" s="187"/>
      <c r="H266" s="136"/>
      <c r="I266" s="216"/>
      <c r="J266" s="158"/>
      <c r="K266" s="91"/>
      <c r="M266" s="1"/>
      <c r="N266" s="1"/>
    </row>
    <row r="267" spans="2:14" ht="16.5" thickBot="1">
      <c r="B267" s="25"/>
      <c r="C267" s="51"/>
      <c r="D267" s="8"/>
      <c r="E267" s="8"/>
      <c r="F267" s="176"/>
      <c r="G267" s="197"/>
      <c r="H267" s="147"/>
      <c r="I267" s="218"/>
      <c r="J267" s="159"/>
      <c r="K267" s="85"/>
      <c r="M267" s="1"/>
      <c r="N267" s="1"/>
    </row>
    <row r="268" spans="2:14" ht="16.5" thickBot="1">
      <c r="B268" s="49"/>
      <c r="C268" s="38"/>
      <c r="D268" s="39"/>
      <c r="E268" s="39"/>
      <c r="F268" s="90"/>
      <c r="G268" s="196"/>
      <c r="H268" s="86"/>
      <c r="I268" s="86" t="s">
        <v>24</v>
      </c>
      <c r="J268" s="86" t="s">
        <v>77</v>
      </c>
      <c r="K268" s="87">
        <f>SUM(K253:K265)</f>
        <v>10000</v>
      </c>
    </row>
    <row r="269" spans="2:14" ht="15.75" customHeight="1">
      <c r="B269" s="40" t="s">
        <v>107</v>
      </c>
      <c r="C269" s="14" t="str">
        <f>C34</f>
        <v>Height Limited Sensor</v>
      </c>
      <c r="D269" s="50"/>
      <c r="E269" s="50"/>
      <c r="F269" s="171"/>
      <c r="G269" s="192"/>
      <c r="H269" s="141"/>
      <c r="I269" s="208"/>
      <c r="J269" s="156"/>
      <c r="K269" s="74"/>
      <c r="M269" s="48"/>
      <c r="N269" s="48"/>
    </row>
    <row r="270" spans="2:14" ht="33.6" customHeight="1">
      <c r="B270" s="25"/>
      <c r="C270" s="283" t="s">
        <v>208</v>
      </c>
      <c r="D270" s="284"/>
      <c r="E270" s="285"/>
      <c r="F270" s="168"/>
      <c r="G270" s="189"/>
      <c r="H270" s="138"/>
      <c r="I270" s="206"/>
      <c r="J270" s="117"/>
      <c r="K270" s="82"/>
      <c r="M270" s="1"/>
      <c r="N270" s="1"/>
    </row>
    <row r="271" spans="2:14" ht="18" customHeight="1">
      <c r="B271" s="25"/>
      <c r="C271" s="224"/>
      <c r="D271" s="225"/>
      <c r="E271" s="226"/>
      <c r="F271" s="168"/>
      <c r="G271" s="189"/>
      <c r="H271" s="138"/>
      <c r="I271" s="206"/>
      <c r="J271" s="229"/>
      <c r="K271" s="82"/>
      <c r="M271" s="1"/>
      <c r="N271" s="1"/>
    </row>
    <row r="272" spans="2:14" ht="16.5" customHeight="1">
      <c r="B272" s="25" t="s">
        <v>214</v>
      </c>
      <c r="C272" s="52" t="s">
        <v>67</v>
      </c>
      <c r="D272" s="53"/>
      <c r="E272" s="69"/>
      <c r="F272" s="42">
        <v>1</v>
      </c>
      <c r="G272" s="54" t="s">
        <v>54</v>
      </c>
      <c r="H272" s="127" t="s">
        <v>77</v>
      </c>
      <c r="I272" s="122">
        <v>10000</v>
      </c>
      <c r="J272" s="127" t="s">
        <v>77</v>
      </c>
      <c r="K272" s="76">
        <f>F272*I272</f>
        <v>10000</v>
      </c>
      <c r="M272" s="48"/>
      <c r="N272" s="48"/>
    </row>
    <row r="273" spans="2:14" ht="16.5" customHeight="1">
      <c r="B273" s="25"/>
      <c r="C273" s="52"/>
      <c r="D273" s="53"/>
      <c r="E273" s="69"/>
      <c r="F273" s="173"/>
      <c r="G273" s="195"/>
      <c r="H273" s="145"/>
      <c r="I273" s="208"/>
      <c r="J273" s="128"/>
      <c r="K273" s="76"/>
      <c r="M273" s="48"/>
      <c r="N273" s="48"/>
    </row>
    <row r="274" spans="2:14" ht="16.5" customHeight="1">
      <c r="B274" s="25" t="s">
        <v>216</v>
      </c>
      <c r="C274" s="239" t="s">
        <v>156</v>
      </c>
      <c r="D274" s="240"/>
      <c r="F274" s="42">
        <v>2</v>
      </c>
      <c r="G274" s="54" t="s">
        <v>26</v>
      </c>
      <c r="H274" s="127" t="s">
        <v>77</v>
      </c>
      <c r="I274" s="125">
        <v>15000</v>
      </c>
      <c r="J274" s="127" t="s">
        <v>77</v>
      </c>
      <c r="K274" s="76">
        <f>F274*I274</f>
        <v>30000</v>
      </c>
      <c r="M274" s="48"/>
      <c r="N274" s="48"/>
    </row>
    <row r="275" spans="2:14" ht="16.5" customHeight="1">
      <c r="B275" s="25"/>
      <c r="C275" s="43" t="s">
        <v>215</v>
      </c>
      <c r="D275" s="27"/>
      <c r="F275" s="42"/>
      <c r="G275" s="54"/>
      <c r="H275" s="127"/>
      <c r="I275" s="125"/>
      <c r="J275" s="127"/>
      <c r="K275" s="76"/>
      <c r="M275" s="48"/>
      <c r="N275" s="48"/>
    </row>
    <row r="276" spans="2:14" ht="17.25" customHeight="1">
      <c r="B276" s="25"/>
      <c r="C276" s="43"/>
      <c r="D276" s="27"/>
      <c r="E276" s="27"/>
      <c r="F276" s="166"/>
      <c r="G276" s="187"/>
      <c r="H276" s="136"/>
      <c r="I276" s="216"/>
      <c r="J276" s="158"/>
      <c r="K276" s="91"/>
      <c r="M276" s="1"/>
      <c r="N276" s="1"/>
    </row>
    <row r="277" spans="2:14" ht="17.25" customHeight="1">
      <c r="B277" s="25" t="s">
        <v>217</v>
      </c>
      <c r="C277" s="288" t="s">
        <v>260</v>
      </c>
      <c r="D277" s="289"/>
      <c r="E277" s="290"/>
      <c r="F277" s="42">
        <v>51</v>
      </c>
      <c r="G277" s="54" t="s">
        <v>114</v>
      </c>
      <c r="H277" s="127" t="s">
        <v>132</v>
      </c>
      <c r="I277" s="208">
        <v>500</v>
      </c>
      <c r="J277" s="127" t="s">
        <v>132</v>
      </c>
      <c r="K277" s="76">
        <f>I277*F277</f>
        <v>25500</v>
      </c>
      <c r="M277" s="1"/>
      <c r="N277" s="1"/>
    </row>
    <row r="278" spans="2:14" ht="17.25" customHeight="1">
      <c r="B278" s="25"/>
      <c r="C278" s="52"/>
      <c r="D278" s="53"/>
      <c r="E278" s="53"/>
      <c r="F278" s="42"/>
      <c r="G278" s="54"/>
      <c r="H278" s="127"/>
      <c r="I278" s="208"/>
      <c r="J278" s="127"/>
      <c r="K278" s="76"/>
      <c r="M278" s="1"/>
      <c r="N278" s="1"/>
    </row>
    <row r="279" spans="2:14" ht="17.25" customHeight="1">
      <c r="B279" s="25"/>
      <c r="C279" s="52"/>
      <c r="D279" s="53"/>
      <c r="E279" s="53"/>
      <c r="F279" s="42"/>
      <c r="G279" s="54"/>
      <c r="H279" s="127"/>
      <c r="I279" s="208"/>
      <c r="J279" s="127"/>
      <c r="K279" s="76"/>
      <c r="M279" s="1"/>
      <c r="N279" s="1"/>
    </row>
    <row r="280" spans="2:14" ht="16.5" customHeight="1">
      <c r="B280" s="25" t="s">
        <v>242</v>
      </c>
      <c r="C280" s="297" t="s">
        <v>241</v>
      </c>
      <c r="D280" s="262"/>
      <c r="E280" s="298"/>
      <c r="F280" s="107">
        <v>2</v>
      </c>
      <c r="G280" s="54" t="s">
        <v>26</v>
      </c>
      <c r="H280" s="127" t="s">
        <v>132</v>
      </c>
      <c r="I280" s="208">
        <v>10000</v>
      </c>
      <c r="J280" s="127" t="s">
        <v>132</v>
      </c>
      <c r="K280" s="76">
        <f>I280*F280</f>
        <v>20000</v>
      </c>
      <c r="M280" s="237"/>
      <c r="N280" s="237"/>
    </row>
    <row r="281" spans="2:14" ht="16.5" customHeight="1">
      <c r="B281" s="25"/>
      <c r="C281" s="43" t="s">
        <v>262</v>
      </c>
      <c r="D281" s="227"/>
      <c r="E281" s="227"/>
      <c r="F281" s="107"/>
      <c r="G281" s="54"/>
      <c r="H281" s="127"/>
      <c r="I281" s="208"/>
      <c r="J281" s="127"/>
      <c r="K281" s="76"/>
      <c r="M281" s="237"/>
      <c r="N281" s="237"/>
    </row>
    <row r="282" spans="2:14" ht="16.5" thickBot="1">
      <c r="B282" s="25"/>
      <c r="C282" s="51"/>
      <c r="D282" s="8"/>
      <c r="E282" s="8"/>
      <c r="F282" s="176"/>
      <c r="G282" s="197"/>
      <c r="H282" s="147"/>
      <c r="I282" s="218"/>
      <c r="J282" s="159"/>
      <c r="K282" s="85"/>
      <c r="M282" s="1"/>
      <c r="N282" s="1"/>
    </row>
    <row r="283" spans="2:14" ht="16.5" thickBot="1">
      <c r="B283" s="49"/>
      <c r="C283" s="38"/>
      <c r="D283" s="39"/>
      <c r="E283" s="39"/>
      <c r="F283" s="90"/>
      <c r="G283" s="196"/>
      <c r="H283" s="86"/>
      <c r="I283" s="86" t="s">
        <v>24</v>
      </c>
      <c r="J283" s="86" t="s">
        <v>77</v>
      </c>
      <c r="K283" s="87">
        <f>SUM(K272:K282)</f>
        <v>85500</v>
      </c>
    </row>
    <row r="284" spans="2:14" ht="15.75" customHeight="1">
      <c r="B284" s="40" t="s">
        <v>108</v>
      </c>
      <c r="C284" s="14" t="str">
        <f>C35</f>
        <v>Authenticating authorized operation of plant and equipment</v>
      </c>
      <c r="D284" s="50"/>
      <c r="E284" s="50"/>
      <c r="F284" s="171"/>
      <c r="G284" s="192"/>
      <c r="H284" s="141"/>
      <c r="I284" s="208"/>
      <c r="J284" s="156"/>
      <c r="K284" s="74"/>
      <c r="M284" s="48"/>
      <c r="N284" s="48"/>
    </row>
    <row r="285" spans="2:14" ht="33.6" customHeight="1">
      <c r="B285" s="25"/>
      <c r="C285" s="283" t="s">
        <v>209</v>
      </c>
      <c r="D285" s="284"/>
      <c r="E285" s="285"/>
      <c r="F285" s="168"/>
      <c r="G285" s="189"/>
      <c r="H285" s="138"/>
      <c r="I285" s="206"/>
      <c r="J285" s="117"/>
      <c r="K285" s="82"/>
      <c r="M285" s="1"/>
      <c r="N285" s="1"/>
    </row>
    <row r="286" spans="2:14" ht="18" customHeight="1">
      <c r="B286" s="25"/>
      <c r="C286" s="224"/>
      <c r="D286" s="225"/>
      <c r="E286" s="226"/>
      <c r="F286" s="168"/>
      <c r="G286" s="189"/>
      <c r="H286" s="138"/>
      <c r="I286" s="206"/>
      <c r="J286" s="229"/>
      <c r="K286" s="82"/>
      <c r="M286" s="1"/>
      <c r="N286" s="1"/>
    </row>
    <row r="287" spans="2:14" ht="16.5" customHeight="1">
      <c r="B287" s="25" t="s">
        <v>210</v>
      </c>
      <c r="C287" s="52" t="s">
        <v>67</v>
      </c>
      <c r="D287" s="53"/>
      <c r="E287" s="69"/>
      <c r="F287" s="42">
        <v>1</v>
      </c>
      <c r="G287" s="54" t="s">
        <v>54</v>
      </c>
      <c r="H287" s="127" t="s">
        <v>77</v>
      </c>
      <c r="I287" s="122">
        <v>10000</v>
      </c>
      <c r="J287" s="127" t="s">
        <v>77</v>
      </c>
      <c r="K287" s="76">
        <f>F287*I287</f>
        <v>10000</v>
      </c>
      <c r="M287" s="48"/>
      <c r="N287" s="48"/>
    </row>
    <row r="288" spans="2:14" ht="16.5" customHeight="1">
      <c r="B288" s="25"/>
      <c r="C288" s="52"/>
      <c r="D288" s="53"/>
      <c r="E288" s="69"/>
      <c r="F288" s="173"/>
      <c r="G288" s="195"/>
      <c r="H288" s="145"/>
      <c r="I288" s="208"/>
      <c r="J288" s="128"/>
      <c r="K288" s="76"/>
      <c r="M288" s="48"/>
      <c r="N288" s="48"/>
    </row>
    <row r="289" spans="2:14" ht="16.5" customHeight="1">
      <c r="B289" s="25" t="s">
        <v>212</v>
      </c>
      <c r="C289" s="239" t="s">
        <v>156</v>
      </c>
      <c r="D289" s="240"/>
      <c r="F289" s="42">
        <v>10</v>
      </c>
      <c r="G289" s="54" t="s">
        <v>26</v>
      </c>
      <c r="H289" s="127" t="s">
        <v>77</v>
      </c>
      <c r="I289" s="125">
        <v>10000</v>
      </c>
      <c r="J289" s="127" t="s">
        <v>77</v>
      </c>
      <c r="K289" s="76">
        <f>F289*I289</f>
        <v>100000</v>
      </c>
      <c r="M289" s="48"/>
      <c r="N289" s="48"/>
    </row>
    <row r="290" spans="2:14">
      <c r="B290" s="25"/>
      <c r="C290" s="43" t="s">
        <v>211</v>
      </c>
      <c r="D290" s="27"/>
      <c r="F290" s="166"/>
      <c r="G290" s="187"/>
      <c r="H290" s="136"/>
      <c r="I290" s="216"/>
      <c r="J290" s="157"/>
      <c r="K290" s="91"/>
      <c r="M290" s="1"/>
      <c r="N290" s="1"/>
    </row>
    <row r="291" spans="2:14">
      <c r="B291" s="25"/>
      <c r="C291" s="43"/>
      <c r="D291" s="27"/>
      <c r="F291" s="166"/>
      <c r="G291" s="187"/>
      <c r="H291" s="136"/>
      <c r="I291" s="216"/>
      <c r="J291" s="158"/>
      <c r="K291" s="91"/>
      <c r="M291" s="1"/>
      <c r="N291" s="1"/>
    </row>
    <row r="292" spans="2:14" ht="17.25" customHeight="1">
      <c r="B292" s="25" t="s">
        <v>213</v>
      </c>
      <c r="C292" s="288" t="s">
        <v>261</v>
      </c>
      <c r="D292" s="289"/>
      <c r="E292" s="290"/>
      <c r="F292" s="42">
        <v>51</v>
      </c>
      <c r="G292" s="54" t="s">
        <v>114</v>
      </c>
      <c r="H292" s="127" t="s">
        <v>132</v>
      </c>
      <c r="I292" s="208">
        <v>500</v>
      </c>
      <c r="J292" s="127" t="s">
        <v>132</v>
      </c>
      <c r="K292" s="76">
        <f>I292*F292</f>
        <v>25500</v>
      </c>
      <c r="M292" s="1"/>
      <c r="N292" s="1"/>
    </row>
    <row r="293" spans="2:14" ht="17.25" customHeight="1">
      <c r="B293" s="25"/>
      <c r="C293" s="52"/>
      <c r="D293" s="53"/>
      <c r="E293" s="53"/>
      <c r="F293" s="42"/>
      <c r="G293" s="54"/>
      <c r="H293" s="127"/>
      <c r="I293" s="208"/>
      <c r="J293" s="127"/>
      <c r="K293" s="76"/>
      <c r="M293" s="1"/>
      <c r="N293" s="1"/>
    </row>
    <row r="294" spans="2:14" ht="16.5" thickBot="1">
      <c r="B294" s="25"/>
      <c r="C294" s="51"/>
      <c r="D294" s="8"/>
      <c r="E294" s="8"/>
      <c r="F294" s="176"/>
      <c r="G294" s="197"/>
      <c r="H294" s="147"/>
      <c r="I294" s="218"/>
      <c r="J294" s="159"/>
      <c r="K294" s="85"/>
      <c r="M294" s="1"/>
      <c r="N294" s="1"/>
    </row>
    <row r="295" spans="2:14" ht="16.5" thickBot="1">
      <c r="B295" s="49"/>
      <c r="C295" s="38"/>
      <c r="D295" s="39"/>
      <c r="E295" s="39"/>
      <c r="F295" s="90"/>
      <c r="G295" s="196"/>
      <c r="H295" s="86"/>
      <c r="I295" s="86" t="s">
        <v>24</v>
      </c>
      <c r="J295" s="86" t="s">
        <v>77</v>
      </c>
      <c r="K295" s="87">
        <f>SUM(K287:K294)</f>
        <v>135500</v>
      </c>
    </row>
    <row r="296" spans="2:14" ht="16.5" thickBot="1">
      <c r="B296" s="49"/>
      <c r="C296" s="38"/>
      <c r="D296" s="39"/>
      <c r="E296" s="39"/>
      <c r="F296" s="261" t="s">
        <v>283</v>
      </c>
      <c r="G296" s="261"/>
      <c r="H296" s="86"/>
      <c r="I296" s="86"/>
      <c r="J296" s="86" t="s">
        <v>77</v>
      </c>
      <c r="K296" s="260">
        <f>K246</f>
        <v>180400</v>
      </c>
    </row>
    <row r="297" spans="2:14" ht="16.5" outlineLevel="1" thickBot="1">
      <c r="B297" s="99"/>
      <c r="C297" s="100"/>
      <c r="D297" s="101"/>
      <c r="E297" s="101"/>
      <c r="F297" s="177"/>
      <c r="G297" s="198" t="s">
        <v>56</v>
      </c>
      <c r="H297" s="148"/>
      <c r="I297" s="148"/>
      <c r="J297" s="102" t="s">
        <v>77</v>
      </c>
      <c r="K297" s="92">
        <f>K131+K107+K85+K67+K152+K180+K200+K228+K283+K268+K250+K295-K296</f>
        <v>2040700</v>
      </c>
    </row>
    <row r="298" spans="2:14">
      <c r="B298" s="2" t="s">
        <v>59</v>
      </c>
    </row>
    <row r="300" spans="2:14" ht="15.95" customHeight="1" thickBot="1">
      <c r="B300" s="65" t="s">
        <v>27</v>
      </c>
      <c r="C300" s="11" t="s">
        <v>28</v>
      </c>
    </row>
    <row r="301" spans="2:14" thickBot="1">
      <c r="B301" s="12" t="s">
        <v>11</v>
      </c>
      <c r="C301" s="268" t="s">
        <v>12</v>
      </c>
      <c r="D301" s="269"/>
      <c r="E301" s="269"/>
      <c r="F301" s="178"/>
      <c r="G301" s="199"/>
      <c r="H301" s="149"/>
      <c r="I301" s="149"/>
      <c r="J301" s="270"/>
      <c r="K301" s="271"/>
    </row>
    <row r="302" spans="2:14" ht="15.75" customHeight="1">
      <c r="B302" s="56">
        <v>1</v>
      </c>
      <c r="C302" s="272" t="s">
        <v>29</v>
      </c>
      <c r="D302" s="273"/>
      <c r="E302" s="273"/>
      <c r="F302" s="273"/>
      <c r="G302" s="273"/>
      <c r="H302" s="273"/>
      <c r="I302" s="273"/>
      <c r="J302" s="273"/>
      <c r="K302" s="274"/>
    </row>
    <row r="303" spans="2:14" ht="15.75" customHeight="1">
      <c r="B303" s="57">
        <v>2</v>
      </c>
      <c r="C303" s="265" t="s">
        <v>45</v>
      </c>
      <c r="D303" s="266"/>
      <c r="E303" s="266"/>
      <c r="F303" s="266"/>
      <c r="G303" s="266"/>
      <c r="H303" s="266"/>
      <c r="I303" s="266"/>
      <c r="J303" s="266"/>
      <c r="K303" s="267"/>
    </row>
    <row r="304" spans="2:14" ht="15.6" customHeight="1">
      <c r="B304" s="57">
        <v>3</v>
      </c>
      <c r="C304" s="265" t="s">
        <v>30</v>
      </c>
      <c r="D304" s="266"/>
      <c r="E304" s="266"/>
      <c r="F304" s="266"/>
      <c r="G304" s="266"/>
      <c r="H304" s="266"/>
      <c r="I304" s="266"/>
      <c r="J304" s="266"/>
      <c r="K304" s="267"/>
    </row>
    <row r="305" spans="2:11" ht="15.75" customHeight="1">
      <c r="B305" s="57">
        <v>4</v>
      </c>
      <c r="C305" s="265" t="s">
        <v>31</v>
      </c>
      <c r="D305" s="266"/>
      <c r="E305" s="266"/>
      <c r="F305" s="266"/>
      <c r="G305" s="266"/>
      <c r="H305" s="266"/>
      <c r="I305" s="266"/>
      <c r="J305" s="266"/>
      <c r="K305" s="267"/>
    </row>
    <row r="306" spans="2:11" ht="15.75" customHeight="1">
      <c r="B306" s="58">
        <v>5</v>
      </c>
      <c r="C306" s="59" t="s">
        <v>32</v>
      </c>
      <c r="D306" s="60"/>
      <c r="E306" s="60"/>
      <c r="F306" s="179"/>
      <c r="G306" s="200"/>
      <c r="H306" s="150"/>
      <c r="I306" s="219"/>
      <c r="J306" s="93"/>
      <c r="K306" s="94"/>
    </row>
    <row r="307" spans="2:11" ht="15.75" customHeight="1">
      <c r="B307" s="58">
        <v>6</v>
      </c>
      <c r="C307" s="59" t="s">
        <v>266</v>
      </c>
      <c r="D307" s="60"/>
      <c r="E307" s="60"/>
      <c r="F307" s="179"/>
      <c r="G307" s="200"/>
      <c r="H307" s="150"/>
      <c r="I307" s="219"/>
      <c r="J307" s="93"/>
      <c r="K307" s="94"/>
    </row>
    <row r="308" spans="2:11" ht="15.75" customHeight="1">
      <c r="B308" s="58">
        <v>7</v>
      </c>
      <c r="C308" s="59" t="s">
        <v>33</v>
      </c>
      <c r="D308" s="60"/>
      <c r="E308" s="60"/>
      <c r="F308" s="179"/>
      <c r="G308" s="200"/>
      <c r="H308" s="150"/>
      <c r="I308" s="219"/>
      <c r="J308" s="93"/>
      <c r="K308" s="94"/>
    </row>
    <row r="309" spans="2:11" ht="16.5" customHeight="1" thickBot="1">
      <c r="B309" s="61">
        <v>8</v>
      </c>
      <c r="C309" s="276" t="s">
        <v>76</v>
      </c>
      <c r="D309" s="277"/>
      <c r="E309" s="277"/>
      <c r="F309" s="277"/>
      <c r="G309" s="277"/>
      <c r="H309" s="277"/>
      <c r="I309" s="277"/>
      <c r="J309" s="277"/>
      <c r="K309" s="278"/>
    </row>
    <row r="310" spans="2:11" ht="16.5" customHeight="1">
      <c r="B310" s="6"/>
      <c r="C310" s="62"/>
      <c r="D310" s="62"/>
      <c r="E310" s="62"/>
      <c r="F310" s="180"/>
      <c r="G310" s="201"/>
      <c r="H310" s="151"/>
      <c r="I310" s="220"/>
      <c r="J310" s="95"/>
      <c r="K310" s="95"/>
    </row>
    <row r="311" spans="2:11">
      <c r="B311" s="65" t="s">
        <v>34</v>
      </c>
      <c r="C311" s="11" t="s">
        <v>35</v>
      </c>
      <c r="D311" s="11" t="s">
        <v>36</v>
      </c>
    </row>
    <row r="312" spans="2:11">
      <c r="B312" s="65"/>
      <c r="C312" s="2" t="s">
        <v>109</v>
      </c>
      <c r="D312" s="263">
        <v>0.5</v>
      </c>
      <c r="E312" s="264"/>
      <c r="F312" s="103"/>
      <c r="G312" s="103"/>
      <c r="H312" s="275"/>
      <c r="I312" s="275"/>
    </row>
    <row r="313" spans="2:11" ht="15.95" customHeight="1">
      <c r="C313" s="2" t="s">
        <v>110</v>
      </c>
      <c r="D313" s="263" t="s">
        <v>111</v>
      </c>
      <c r="E313" s="264"/>
      <c r="F313" s="103"/>
      <c r="G313" s="103"/>
      <c r="H313" s="275"/>
      <c r="I313" s="275"/>
    </row>
    <row r="314" spans="2:11" ht="15.95" customHeight="1">
      <c r="D314" s="263"/>
      <c r="E314" s="264"/>
    </row>
    <row r="315" spans="2:11" ht="15.95" customHeight="1">
      <c r="D315" s="263"/>
      <c r="E315" s="264"/>
    </row>
    <row r="317" spans="2:11">
      <c r="B317" s="65" t="s">
        <v>37</v>
      </c>
      <c r="C317" s="11" t="s">
        <v>38</v>
      </c>
      <c r="D317" s="262" t="s">
        <v>113</v>
      </c>
      <c r="E317" s="262"/>
    </row>
    <row r="319" spans="2:11">
      <c r="B319" s="65" t="s">
        <v>39</v>
      </c>
      <c r="C319" s="11" t="s">
        <v>40</v>
      </c>
    </row>
    <row r="322" spans="2:14" ht="15">
      <c r="B322" s="2" t="s">
        <v>41</v>
      </c>
      <c r="F322" s="5" t="s">
        <v>42</v>
      </c>
      <c r="G322" s="5"/>
      <c r="H322" s="6"/>
      <c r="I322" s="71"/>
      <c r="K322" s="31"/>
    </row>
    <row r="323" spans="2:14" ht="15">
      <c r="B323" s="2" t="s">
        <v>46</v>
      </c>
      <c r="F323" s="5" t="str">
        <f>C7</f>
        <v>SFK Construction Holdings Limited</v>
      </c>
      <c r="G323" s="5"/>
      <c r="H323" s="6"/>
      <c r="I323" s="71"/>
      <c r="J323" s="161"/>
      <c r="K323" s="31"/>
    </row>
    <row r="324" spans="2:14" ht="15">
      <c r="F324" s="5"/>
      <c r="G324" s="5"/>
      <c r="H324" s="6"/>
      <c r="I324" s="71"/>
      <c r="J324" s="161"/>
      <c r="K324" s="5"/>
      <c r="M324" s="2"/>
      <c r="N324" s="2"/>
    </row>
    <row r="325" spans="2:14" ht="15">
      <c r="F325" s="5"/>
      <c r="G325" s="5"/>
      <c r="H325" s="6"/>
      <c r="I325" s="71"/>
      <c r="J325" s="161"/>
      <c r="K325" s="31"/>
    </row>
    <row r="326" spans="2:14" ht="15">
      <c r="F326" s="5"/>
      <c r="G326" s="5"/>
      <c r="H326" s="6"/>
      <c r="I326" s="71"/>
      <c r="J326" s="161"/>
      <c r="K326" s="31"/>
    </row>
    <row r="327" spans="2:14" thickBot="1">
      <c r="B327" s="63"/>
      <c r="C327" s="63"/>
      <c r="F327" s="64"/>
      <c r="G327" s="64"/>
      <c r="H327" s="129"/>
      <c r="I327" s="96"/>
      <c r="J327" s="181"/>
      <c r="K327" s="188"/>
    </row>
    <row r="328" spans="2:14" ht="15">
      <c r="B328" s="2" t="s">
        <v>43</v>
      </c>
      <c r="F328" s="5" t="s">
        <v>43</v>
      </c>
      <c r="G328" s="5"/>
      <c r="H328" s="6"/>
      <c r="I328" s="71"/>
      <c r="J328" s="161"/>
      <c r="K328" s="31"/>
    </row>
    <row r="329" spans="2:14" ht="15">
      <c r="B329" s="2" t="s">
        <v>44</v>
      </c>
      <c r="C329" s="110">
        <f>K7</f>
        <v>46126</v>
      </c>
      <c r="F329" s="5" t="s">
        <v>44</v>
      </c>
      <c r="G329" s="109"/>
      <c r="H329" s="130"/>
      <c r="I329" s="110"/>
      <c r="J329" s="182"/>
      <c r="K329" s="31"/>
    </row>
    <row r="330" spans="2:14" ht="15">
      <c r="F330" s="5"/>
      <c r="G330" s="5"/>
      <c r="H330" s="6"/>
      <c r="I330" s="71"/>
      <c r="J330" s="161"/>
      <c r="K330" s="31"/>
    </row>
  </sheetData>
  <mergeCells count="72">
    <mergeCell ref="C292:E292"/>
    <mergeCell ref="C218:E218"/>
    <mergeCell ref="C262:E262"/>
    <mergeCell ref="C263:E263"/>
    <mergeCell ref="C270:E270"/>
    <mergeCell ref="C277:E277"/>
    <mergeCell ref="C285:E285"/>
    <mergeCell ref="C230:E230"/>
    <mergeCell ref="C231:E231"/>
    <mergeCell ref="C252:E252"/>
    <mergeCell ref="C226:E226"/>
    <mergeCell ref="C236:E236"/>
    <mergeCell ref="C280:E280"/>
    <mergeCell ref="F224:G224"/>
    <mergeCell ref="C202:E202"/>
    <mergeCell ref="C206:E206"/>
    <mergeCell ref="C183:E183"/>
    <mergeCell ref="C216:E216"/>
    <mergeCell ref="C203:E203"/>
    <mergeCell ref="C208:E208"/>
    <mergeCell ref="C186:E186"/>
    <mergeCell ref="C196:E196"/>
    <mergeCell ref="C198:E198"/>
    <mergeCell ref="C178:E178"/>
    <mergeCell ref="C154:E154"/>
    <mergeCell ref="C157:E157"/>
    <mergeCell ref="C182:E182"/>
    <mergeCell ref="C168:E168"/>
    <mergeCell ref="C171:E171"/>
    <mergeCell ref="F62:G62"/>
    <mergeCell ref="C71:E71"/>
    <mergeCell ref="C74:E74"/>
    <mergeCell ref="C109:E109"/>
    <mergeCell ref="C73:E73"/>
    <mergeCell ref="C70:E70"/>
    <mergeCell ref="C88:E88"/>
    <mergeCell ref="F65:G65"/>
    <mergeCell ref="F63:G63"/>
    <mergeCell ref="C133:E133"/>
    <mergeCell ref="C87:E87"/>
    <mergeCell ref="F129:G129"/>
    <mergeCell ref="F177:G177"/>
    <mergeCell ref="C105:E105"/>
    <mergeCell ref="C110:E110"/>
    <mergeCell ref="C113:E113"/>
    <mergeCell ref="C115:E115"/>
    <mergeCell ref="C117:E117"/>
    <mergeCell ref="C135:E135"/>
    <mergeCell ref="C137:E137"/>
    <mergeCell ref="C146:E146"/>
    <mergeCell ref="C148:E148"/>
    <mergeCell ref="C13:K13"/>
    <mergeCell ref="C15:E15"/>
    <mergeCell ref="C17:E17"/>
    <mergeCell ref="J15:K15"/>
    <mergeCell ref="F15:G15"/>
    <mergeCell ref="H15:I15"/>
    <mergeCell ref="F296:G296"/>
    <mergeCell ref="D317:E317"/>
    <mergeCell ref="D314:E314"/>
    <mergeCell ref="C303:K303"/>
    <mergeCell ref="C301:E301"/>
    <mergeCell ref="J301:K301"/>
    <mergeCell ref="C302:K302"/>
    <mergeCell ref="H313:I313"/>
    <mergeCell ref="D315:E315"/>
    <mergeCell ref="D313:E313"/>
    <mergeCell ref="C305:K305"/>
    <mergeCell ref="C304:K304"/>
    <mergeCell ref="D312:E312"/>
    <mergeCell ref="H312:I312"/>
    <mergeCell ref="C309:K309"/>
  </mergeCells>
  <phoneticPr fontId="20" type="noConversion"/>
  <hyperlinks>
    <hyperlink ref="C10" r:id="rId1" xr:uid="{DB6A0260-7E04-4824-AD26-C620535CD4D7}"/>
  </hyperlinks>
  <pageMargins left="0.23622047244094491" right="0.23622047244094491" top="0.74803149606299213" bottom="0.74803149606299213" header="0.31496062992125984" footer="0.31496062992125984"/>
  <pageSetup paperSize="9" scale="43" fitToHeight="0" orientation="portrait" r:id="rId2"/>
  <headerFooter>
    <oddFooter>&amp;CPage &amp;P of &amp;N</oddFooter>
  </headerFooter>
  <rowBreaks count="4" manualBreakCount="4">
    <brk id="85" max="16383" man="1"/>
    <brk id="152" max="16383" man="1"/>
    <brk id="228" max="16383" man="1"/>
    <brk id="299" max="16383" man="1"/>
  </rowBreaks>
  <ignoredErrors>
    <ignoredError sqref="B300" numberStoredAsText="1"/>
  </ignoredErrors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38676-A7F4-074C-9088-2005C857EE9D}">
  <dimension ref="A1:A13"/>
  <sheetViews>
    <sheetView workbookViewId="0">
      <selection activeCell="A3" sqref="A3"/>
    </sheetView>
  </sheetViews>
  <sheetFormatPr defaultColWidth="11.140625" defaultRowHeight="15"/>
  <sheetData>
    <row r="1" spans="1:1">
      <c r="A1">
        <v>863</v>
      </c>
    </row>
    <row r="2" spans="1:1">
      <c r="A2">
        <v>2477.2199999999998</v>
      </c>
    </row>
    <row r="3" spans="1:1">
      <c r="A3">
        <v>1088</v>
      </c>
    </row>
    <row r="4" spans="1:1">
      <c r="A4">
        <v>730</v>
      </c>
    </row>
    <row r="5" spans="1:1">
      <c r="A5">
        <v>1558.4</v>
      </c>
    </row>
    <row r="6" spans="1:1">
      <c r="A6">
        <v>360</v>
      </c>
    </row>
    <row r="7" spans="1:1">
      <c r="A7">
        <v>164</v>
      </c>
    </row>
    <row r="8" spans="1:1">
      <c r="A8">
        <v>453.6</v>
      </c>
    </row>
    <row r="9" spans="1:1">
      <c r="A9">
        <v>360</v>
      </c>
    </row>
    <row r="10" spans="1:1">
      <c r="A10">
        <v>10</v>
      </c>
    </row>
    <row r="11" spans="1:1">
      <c r="A11">
        <v>220</v>
      </c>
    </row>
    <row r="12" spans="1:1">
      <c r="A12">
        <v>200</v>
      </c>
    </row>
    <row r="13" spans="1:1">
      <c r="A13">
        <f>SUM(A1:A12)</f>
        <v>8484.2199999999993</v>
      </c>
    </row>
  </sheetData>
  <phoneticPr fontId="20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Quotation</vt:lpstr>
      <vt:lpstr>工作表1</vt:lpstr>
      <vt:lpstr>Quotation!Print_Area</vt:lpstr>
      <vt:lpstr>Quotation!Print_Titles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isBIM</dc:creator>
  <cp:lastModifiedBy>Steven Lui [Keen Rich]</cp:lastModifiedBy>
  <cp:lastPrinted>2026-03-29T14:25:52Z</cp:lastPrinted>
  <dcterms:created xsi:type="dcterms:W3CDTF">2023-03-13T02:43:00Z</dcterms:created>
  <dcterms:modified xsi:type="dcterms:W3CDTF">2026-04-14T10:02:00Z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3219B0676E7A4CF79A136CD6C9A723EF_13</vt:lpwstr>
  </property>
  <property fmtid="{D5CDD505-2E9C-101B-9397-08002B2CF9AE}" pid="3" name="KSOProductBuildVer">
    <vt:lpwstr>2052-12.1.0.18276</vt:lpwstr>
  </property>
</Properties>
</file>